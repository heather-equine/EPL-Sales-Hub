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lient Roster" state="visible" r:id="rId5"/>
    <sheet sheetId="3" name="Top 20 Accounts" state="visible" r:id="rId6"/>
    <sheet sheetId="4" name="Rep - Karin" state="visible" r:id="rId7"/>
    <sheet sheetId="5" name="Rep - Megan" state="visible" r:id="rId8"/>
    <sheet sheetId="6" name="Top Accounts" state="visible" r:id="rId9"/>
    <sheet sheetId="7" name="New Clients" state="visible" r:id="rId10"/>
    <sheet sheetId="8" name="MoM Trend" state="visible" r:id="rId11"/>
    <sheet sheetId="9" name="Free Vial Watch" state="visible" r:id="rId12"/>
    <sheet sheetId="10" name="Outstanding AR" state="visible" r:id="rId13"/>
    <sheet sheetId="11" name="At-Risk" state="visible" r:id="rId14"/>
    <sheet sheetId="12" name="All Data" state="visible" r:id="rId15"/>
    <sheet sheetId="13" name="README" state="visible" r:id="rId16"/>
  </sheets>
  <calcPr calcId="171027"/>
</workbook>
</file>

<file path=xl/sharedStrings.xml><?xml version="1.0" encoding="utf-8"?>
<sst xmlns="http://schemas.openxmlformats.org/spreadsheetml/2006/main" count="3475" uniqueCount="725">
  <si>
    <t>Weekly Rep Recap</t>
  </si>
  <si>
    <t>Report date: September 30, 2026  •  Equine Performance Labs</t>
  </si>
  <si>
    <t>MTD Sales</t>
  </si>
  <si>
    <t>MTD Collected</t>
  </si>
  <si>
    <t>MTD Gross Profit</t>
  </si>
  <si>
    <t>Gross Margin %</t>
  </si>
  <si>
    <t>YTD Sales</t>
  </si>
  <si>
    <t>YTD Collected</t>
  </si>
  <si>
    <t>MTD Orders</t>
  </si>
  <si>
    <t>Outstanding</t>
  </si>
  <si>
    <t>YTD Discounts Given</t>
  </si>
  <si>
    <t>Effective Discount %</t>
  </si>
  <si>
    <t>YTD Collection Rate</t>
  </si>
  <si>
    <t>Top 5 Concentration</t>
  </si>
  <si>
    <t>Activity Overview</t>
  </si>
  <si>
    <t>Report: 2026-09-30  ·  111 clients  ·  vs 2026-09-25</t>
  </si>
  <si>
    <t>Metric</t>
  </si>
  <si>
    <t>Karin Williamson</t>
  </si>
  <si>
    <t>Megan Smith</t>
  </si>
  <si>
    <t>Company</t>
  </si>
  <si>
    <t>vs Aug (Aug 28)</t>
  </si>
  <si>
    <t>Aug Final (Aug 31)</t>
  </si>
  <si>
    <t/>
  </si>
  <si>
    <t>no change</t>
  </si>
  <si>
    <t>−15%</t>
  </si>
  <si>
    <t>−5%</t>
  </si>
  <si>
    <t>—</t>
  </si>
  <si>
    <t>−29%</t>
  </si>
  <si>
    <t>MTD Vials</t>
  </si>
  <si>
    <t>−1%</t>
  </si>
  <si>
    <t xml:space="preserve">  → Paid Vials</t>
  </si>
  <si>
    <t xml:space="preserve">  → Free Vials</t>
  </si>
  <si>
    <t>New Clients</t>
  </si>
  <si>
    <t>+$4,200 wk/wk</t>
  </si>
  <si>
    <t>−12%</t>
  </si>
  <si>
    <t>% Collected</t>
  </si>
  <si>
    <t>−0.7 pts wk/wk</t>
  </si>
  <si>
    <t>+0.2 pts wk/wk</t>
  </si>
  <si>
    <t>−0.4 pts wk/wk</t>
  </si>
  <si>
    <t>+5.2 pts</t>
  </si>
  <si>
    <t>Active Clients</t>
  </si>
  <si>
    <t>−2 wk/wk</t>
  </si>
  <si>
    <t>Total Clients</t>
  </si>
  <si>
    <t>Client Roster — YTD through 2026-09-30</t>
  </si>
  <si>
    <t>One row per client • sorted by Total Invoiced desc • 79 clients • Source: Orders Portal Client Summary</t>
  </si>
  <si>
    <t>Client</t>
  </si>
  <si>
    <t>Rep</t>
  </si>
  <si>
    <t>Invoices</t>
  </si>
  <si>
    <t>Net Invoiced</t>
  </si>
  <si>
    <t>Discounts</t>
  </si>
  <si>
    <t>Gross Billed</t>
  </si>
  <si>
    <t>Paid</t>
  </si>
  <si>
    <t>Open Balance</t>
  </si>
  <si>
    <t>COGS</t>
  </si>
  <si>
    <t>Shipping</t>
  </si>
  <si>
    <t>Gross Profit</t>
  </si>
  <si>
    <t>GP %</t>
  </si>
  <si>
    <t>Last Order</t>
  </si>
  <si>
    <t>Last Payment</t>
  </si>
  <si>
    <t>Days Since Pmt</t>
  </si>
  <si>
    <t>Equine Athlete Veterinary Services - Simpsonville, KY</t>
  </si>
  <si>
    <t>2026-08-21</t>
  </si>
  <si>
    <t>2026-09-03</t>
  </si>
  <si>
    <t>Northern Star Equine</t>
  </si>
  <si>
    <t>2026-09-29</t>
  </si>
  <si>
    <t>2026-08-28</t>
  </si>
  <si>
    <t>Outlaw Equine</t>
  </si>
  <si>
    <t>2026-09-30</t>
  </si>
  <si>
    <t>2026-10-01</t>
  </si>
  <si>
    <t>Tanner Equine</t>
  </si>
  <si>
    <t>2026-09-28</t>
  </si>
  <si>
    <t>2026-08-27</t>
  </si>
  <si>
    <t>Elgin Equine</t>
  </si>
  <si>
    <t>2026-09-21</t>
  </si>
  <si>
    <t>2026-09-10</t>
  </si>
  <si>
    <t>Double X Veterinary Services</t>
  </si>
  <si>
    <t>Byron Reid and Associates</t>
  </si>
  <si>
    <t>2026-09-16</t>
  </si>
  <si>
    <t>Smith Performance Equine</t>
  </si>
  <si>
    <t>2026-08-12</t>
  </si>
  <si>
    <t>2026-08-25</t>
  </si>
  <si>
    <t>Peterson Smith Equine Hospital</t>
  </si>
  <si>
    <t>2026-09-02</t>
  </si>
  <si>
    <t>Tryon Equine Hospital</t>
  </si>
  <si>
    <t>Cleveland Equine Clinic LLC</t>
  </si>
  <si>
    <t>2026-09-22</t>
  </si>
  <si>
    <t>Ocala Equine Hospital</t>
  </si>
  <si>
    <t>2026-08-19</t>
  </si>
  <si>
    <t>Santa Lucia Farm</t>
  </si>
  <si>
    <t>2026-08-14</t>
  </si>
  <si>
    <t>2026-08-20</t>
  </si>
  <si>
    <t>WinStar Farm LLC</t>
  </si>
  <si>
    <t>2026-05-26</t>
  </si>
  <si>
    <t>2026-07-23</t>
  </si>
  <si>
    <t>Weatherford Equine Medical Center</t>
  </si>
  <si>
    <t>2026-05-14</t>
  </si>
  <si>
    <t>2026-06-16</t>
  </si>
  <si>
    <t>Equine Sports Medicine</t>
  </si>
  <si>
    <t>2026-09-15</t>
  </si>
  <si>
    <t>2026-08-10</t>
  </si>
  <si>
    <t>Signature Equine Hospital</t>
  </si>
  <si>
    <t>2026-08-11</t>
  </si>
  <si>
    <t>Mt. Laramie Veterinary Services</t>
  </si>
  <si>
    <t>2026-09-24</t>
  </si>
  <si>
    <t>2026-07-29</t>
  </si>
  <si>
    <t>Panorama Equine Medical and Surgical Center</t>
  </si>
  <si>
    <t>2026-08-03</t>
  </si>
  <si>
    <t>Signature S Equine</t>
  </si>
  <si>
    <t>Equine Sports Medicine &amp; Surgery</t>
  </si>
  <si>
    <t>2026-09-01</t>
  </si>
  <si>
    <t>Interstate Equine</t>
  </si>
  <si>
    <t>The Feiner Equine</t>
  </si>
  <si>
    <t>2026-09-23</t>
  </si>
  <si>
    <t>2026-07-14</t>
  </si>
  <si>
    <t>Perfect Balance Equine Dentistry and Veterinary Services</t>
  </si>
  <si>
    <t>2026-09-11</t>
  </si>
  <si>
    <t>2026-08-05</t>
  </si>
  <si>
    <t>Desert Pines Equine</t>
  </si>
  <si>
    <t>Woodland Run Equine Veterinary</t>
  </si>
  <si>
    <t>2026-01-28</t>
  </si>
  <si>
    <t>MVP Equine</t>
  </si>
  <si>
    <t>2026-06-02</t>
  </si>
  <si>
    <t>West Texas Equine Clinic</t>
  </si>
  <si>
    <t>Paso Robles Equine</t>
  </si>
  <si>
    <t>2026-03-17</t>
  </si>
  <si>
    <t>2026-04-13</t>
  </si>
  <si>
    <t>Oakridge Equine Hospital</t>
  </si>
  <si>
    <t>2026-04-15</t>
  </si>
  <si>
    <t>KBS Performance Horse Services</t>
  </si>
  <si>
    <t>2026-07-26</t>
  </si>
  <si>
    <t>Running S Equine</t>
  </si>
  <si>
    <t>2026-08-17</t>
  </si>
  <si>
    <t>Soldier Creek Equine Clinic</t>
  </si>
  <si>
    <t>2026-09-25</t>
  </si>
  <si>
    <t>Stahl Veterinary PLLC</t>
  </si>
  <si>
    <t>2026-08-04</t>
  </si>
  <si>
    <t>David M Dutton, DVM PC</t>
  </si>
  <si>
    <t>2026-09-09</t>
  </si>
  <si>
    <t>Republic of Texas Equine Medical Center</t>
  </si>
  <si>
    <t>Advanced Equine of the Hudson Valley</t>
  </si>
  <si>
    <t>2026-07-21</t>
  </si>
  <si>
    <t>2026-04-01</t>
  </si>
  <si>
    <t>Equine Services Ltd</t>
  </si>
  <si>
    <t>Athens Equine</t>
  </si>
  <si>
    <t>Jenson Equine Hospital</t>
  </si>
  <si>
    <t>2026-09-08</t>
  </si>
  <si>
    <t>East Coast Equine Veterinary</t>
  </si>
  <si>
    <t>Leg Up Equine</t>
  </si>
  <si>
    <t>2026-04-08</t>
  </si>
  <si>
    <t>Centenary University</t>
  </si>
  <si>
    <t>Palm Beach Equine Clinic</t>
  </si>
  <si>
    <t>2026-02-24</t>
  </si>
  <si>
    <t>2026-06-01</t>
  </si>
  <si>
    <t>Austin Equine</t>
  </si>
  <si>
    <t>2026-07-22</t>
  </si>
  <si>
    <t>2026-06-22</t>
  </si>
  <si>
    <t>Springhill Equine Veterinary Clinic</t>
  </si>
  <si>
    <t>Fairfield Equine Associates</t>
  </si>
  <si>
    <t>2026-08-18</t>
  </si>
  <si>
    <t>2026-09-14</t>
  </si>
  <si>
    <t>Kentucky Equine Medical Associates</t>
  </si>
  <si>
    <t>Mountain Pointe Equine</t>
  </si>
  <si>
    <t>2026-08-26</t>
  </si>
  <si>
    <t>Buffalo Veterinary Clinic PC</t>
  </si>
  <si>
    <t>Four Winds Equine Hospital</t>
  </si>
  <si>
    <t>2026-05-20</t>
  </si>
  <si>
    <t>2026-06-03</t>
  </si>
  <si>
    <t>Brazos Valley Equine Hospital-Cypress</t>
  </si>
  <si>
    <t>Pilchuck Veterinary Hospital</t>
  </si>
  <si>
    <t>Colts Neck Equine</t>
  </si>
  <si>
    <t>2026-08-24</t>
  </si>
  <si>
    <t>2026-05-18</t>
  </si>
  <si>
    <t>Virginia Equine Imaging</t>
  </si>
  <si>
    <t>Greene, Lewis and Associates</t>
  </si>
  <si>
    <t>Mid-South Equine Sports Medicine &amp; Surgery</t>
  </si>
  <si>
    <t>113 Equine</t>
  </si>
  <si>
    <t>2026-07-08</t>
  </si>
  <si>
    <t>2026-07-16</t>
  </si>
  <si>
    <t>Rood and Riddle Lexington</t>
  </si>
  <si>
    <t>2026-06-29</t>
  </si>
  <si>
    <t>Spruce Lane Farm</t>
  </si>
  <si>
    <t>2026-06-05</t>
  </si>
  <si>
    <t>2026-07-06</t>
  </si>
  <si>
    <t>Kennedy Equine</t>
  </si>
  <si>
    <t>2026-05-15</t>
  </si>
  <si>
    <t>Shell Equine Services</t>
  </si>
  <si>
    <t>2026-04-29</t>
  </si>
  <si>
    <t>Crossroads Veterinary Clinic</t>
  </si>
  <si>
    <t>2026-04-28</t>
  </si>
  <si>
    <t>2026-05-11</t>
  </si>
  <si>
    <t>Central Washington Equine Hospital</t>
  </si>
  <si>
    <t>2026-04-21</t>
  </si>
  <si>
    <t>2026-05-06</t>
  </si>
  <si>
    <t>Flying UJ</t>
  </si>
  <si>
    <t>Tulsa Equine</t>
  </si>
  <si>
    <t>2026-03-12</t>
  </si>
  <si>
    <t>2026-03-16</t>
  </si>
  <si>
    <t>North Texas Veterinary Hospital</t>
  </si>
  <si>
    <t>2026-03-03</t>
  </si>
  <si>
    <t>2026-03-25</t>
  </si>
  <si>
    <t>Hancock Animal Clinic</t>
  </si>
  <si>
    <t>2026-04-22</t>
  </si>
  <si>
    <t>Flat River Veterinary Hospital</t>
  </si>
  <si>
    <t>Mandrona Equine Veterinary Services</t>
  </si>
  <si>
    <t>RD Equine</t>
  </si>
  <si>
    <t>2026-08-31</t>
  </si>
  <si>
    <t>Southern Veterinary Clinic</t>
  </si>
  <si>
    <t>La Feliz Montana Ranch</t>
  </si>
  <si>
    <t>Dr. Mark A Christine</t>
  </si>
  <si>
    <t>Pioneer Equine Hospital</t>
  </si>
  <si>
    <t>Ginn Equine</t>
  </si>
  <si>
    <t>East Fork Equine</t>
  </si>
  <si>
    <t>2026-07-31</t>
  </si>
  <si>
    <t>Northwest Equine Performance</t>
  </si>
  <si>
    <t>2026-07-20</t>
  </si>
  <si>
    <t>Equine Surgical Center at Thorsport Farm</t>
  </si>
  <si>
    <t>2026-06-11</t>
  </si>
  <si>
    <t>Top 20 Account Performance (CASE26 Promo)</t>
  </si>
  <si>
    <t>Clients receiving "Clinical Pricing for Top 20 Accounts" promo  •  YTD through 2026-09-30</t>
  </si>
  <si>
    <t>Clinic</t>
  </si>
  <si>
    <t>State</t>
  </si>
  <si>
    <t>First Order</t>
  </si>
  <si>
    <t>Total Orders</t>
  </si>
  <si>
    <t>Total Vials</t>
  </si>
  <si>
    <t>Total Spent (Ever)</t>
  </si>
  <si>
    <t>Days Since Last Order</t>
  </si>
  <si>
    <t>KY</t>
  </si>
  <si>
    <t>TX</t>
  </si>
  <si>
    <t>2025-12-02</t>
  </si>
  <si>
    <t>2025-12-29</t>
  </si>
  <si>
    <t>2026-04-23</t>
  </si>
  <si>
    <t>2026-01-08</t>
  </si>
  <si>
    <t>NC</t>
  </si>
  <si>
    <t>CA</t>
  </si>
  <si>
    <t>2026-04-17</t>
  </si>
  <si>
    <t>2026-03-20</t>
  </si>
  <si>
    <t>2026-03-23</t>
  </si>
  <si>
    <t>2025-12-16</t>
  </si>
  <si>
    <t>NJ</t>
  </si>
  <si>
    <t>2025-11-19</t>
  </si>
  <si>
    <t>2025-12-22</t>
  </si>
  <si>
    <t>NV</t>
  </si>
  <si>
    <t>OK</t>
  </si>
  <si>
    <t>2026-03-11</t>
  </si>
  <si>
    <t>NY</t>
  </si>
  <si>
    <t>CT</t>
  </si>
  <si>
    <t>MI</t>
  </si>
  <si>
    <t>2026-05-04</t>
  </si>
  <si>
    <t>OH</t>
  </si>
  <si>
    <t>WA</t>
  </si>
  <si>
    <t>34 unique top-20-promo clinics  •  $310,155 lifetime revenue  •  $9,122 avg per clinic</t>
  </si>
  <si>
    <t>Top 20 — By Rep</t>
  </si>
  <si>
    <t>Clinics</t>
  </si>
  <si>
    <t>Total Vials (Lifetime)</t>
  </si>
  <si>
    <t>Total Spent (Lifetime)</t>
  </si>
  <si>
    <t>Avg Vials / Clinic</t>
  </si>
  <si>
    <t>Avg Spend / Clinic</t>
  </si>
  <si>
    <t>Company Total</t>
  </si>
  <si>
    <t>Karin Williamson — Activity Detail</t>
  </si>
  <si>
    <t>Clinic / Company</t>
  </si>
  <si>
    <t>Orders</t>
  </si>
  <si>
    <t>Vials</t>
  </si>
  <si>
    <t>Spent</t>
  </si>
  <si>
    <t>Days</t>
  </si>
  <si>
    <t>Status</t>
  </si>
  <si>
    <t>New</t>
  </si>
  <si>
    <t>Active</t>
  </si>
  <si>
    <t>2026-01-12</t>
  </si>
  <si>
    <t>Yes</t>
  </si>
  <si>
    <t>2026-03-09</t>
  </si>
  <si>
    <t>AZ</t>
  </si>
  <si>
    <t>NM</t>
  </si>
  <si>
    <t>2026-01-27</t>
  </si>
  <si>
    <t>2026-03-10</t>
  </si>
  <si>
    <t>LA</t>
  </si>
  <si>
    <t>OR</t>
  </si>
  <si>
    <t>Inactive</t>
  </si>
  <si>
    <t>2026-03-30</t>
  </si>
  <si>
    <t>Acadiana Equine Hospital</t>
  </si>
  <si>
    <t>No Orders</t>
  </si>
  <si>
    <t>Kennedy Equine - Arrow Equine Hospital</t>
  </si>
  <si>
    <t>CSU Field Services</t>
  </si>
  <si>
    <t>CO</t>
  </si>
  <si>
    <t>Equine Athlete Veterinary Services - Lexington, KY</t>
  </si>
  <si>
    <t>Equine Athlete Veterinary Services - Williamston, MI</t>
  </si>
  <si>
    <t>Equine Veterinary Services of Central Texas, Inc</t>
  </si>
  <si>
    <t>Olympic View Equine Veterinary Services</t>
  </si>
  <si>
    <t>LSU School of Veterinary Medicine</t>
  </si>
  <si>
    <t>Lone Oak Large Animal Veterinary Services</t>
  </si>
  <si>
    <t>Salado Equine Medical Center</t>
  </si>
  <si>
    <t>Megan Smith — Activity Detail</t>
  </si>
  <si>
    <t>2026-04-03</t>
  </si>
  <si>
    <t>2026-07-27</t>
  </si>
  <si>
    <t>FL</t>
  </si>
  <si>
    <t>SC</t>
  </si>
  <si>
    <t>2026-07-15</t>
  </si>
  <si>
    <t>MS</t>
  </si>
  <si>
    <t>2026-04-16</t>
  </si>
  <si>
    <t>2026-02-18</t>
  </si>
  <si>
    <t>2026-04-20</t>
  </si>
  <si>
    <t>VA</t>
  </si>
  <si>
    <t>2026-06-24</t>
  </si>
  <si>
    <t>TN</t>
  </si>
  <si>
    <t>2026-07-02</t>
  </si>
  <si>
    <t>2026-06-26</t>
  </si>
  <si>
    <t>New Bolton Center</t>
  </si>
  <si>
    <t>PA</t>
  </si>
  <si>
    <t>Performance Equine Veterinary Services (EPIC)</t>
  </si>
  <si>
    <t>Florida Equine Veterinary Associates (FEVA)</t>
  </si>
  <si>
    <t>Southen Indiana Equine Inc.</t>
  </si>
  <si>
    <t>IN</t>
  </si>
  <si>
    <t>Blue Ridge Equine</t>
  </si>
  <si>
    <t>Whetstone Equine</t>
  </si>
  <si>
    <t>Equine Therapies</t>
  </si>
  <si>
    <t>MA</t>
  </si>
  <si>
    <t>Neuse River Equine Hospital</t>
  </si>
  <si>
    <t>Banks Veterinary Medicine Prof Corp</t>
  </si>
  <si>
    <t>Rachel Kane LTD</t>
  </si>
  <si>
    <t>IL</t>
  </si>
  <si>
    <t>Horse &amp; Hound Vet</t>
  </si>
  <si>
    <t>South Carolina Equine Associates</t>
  </si>
  <si>
    <t>Eastern Equine Veterinary Clinic</t>
  </si>
  <si>
    <t>Omni Equine, PSC</t>
  </si>
  <si>
    <t>Essex Equine</t>
  </si>
  <si>
    <t>JR Equine Services</t>
  </si>
  <si>
    <t>Russell Equine Sports Medicine</t>
  </si>
  <si>
    <t>Dixie Integrative Veterinary Services</t>
  </si>
  <si>
    <t>AL</t>
  </si>
  <si>
    <t>Equine Medical Center</t>
  </si>
  <si>
    <t>GA</t>
  </si>
  <si>
    <t>Exclusively Equine</t>
  </si>
  <si>
    <t>MN</t>
  </si>
  <si>
    <t>AXEL F SONDHOF, DVM, MS, P.C.</t>
  </si>
  <si>
    <t>Top 5 Accounts per Rep (by Total Spent)</t>
  </si>
  <si>
    <t>New Clients — September 2026</t>
  </si>
  <si>
    <t>New = customer's first invoice landed in this month · derived from invoice history through 2026-09-30</t>
  </si>
  <si>
    <t>YTD New Clients</t>
  </si>
  <si>
    <t>This Month</t>
  </si>
  <si>
    <t>Last Month</t>
  </si>
  <si>
    <t>Best Month (Apr)</t>
  </si>
  <si>
    <t>Month-over-month · new clients by rep</t>
  </si>
  <si>
    <t>Month</t>
  </si>
  <si>
    <t>Karin</t>
  </si>
  <si>
    <t>Megan</t>
  </si>
  <si>
    <t>Total</t>
  </si>
  <si>
    <t>MoM Δ</t>
  </si>
  <si>
    <t>January</t>
  </si>
  <si>
    <t>February</t>
  </si>
  <si>
    <t>+2</t>
  </si>
  <si>
    <t>March</t>
  </si>
  <si>
    <t>+6</t>
  </si>
  <si>
    <t>April</t>
  </si>
  <si>
    <t>+4</t>
  </si>
  <si>
    <t>May</t>
  </si>
  <si>
    <t>-8</t>
  </si>
  <si>
    <t>June</t>
  </si>
  <si>
    <t>-2</t>
  </si>
  <si>
    <t>July</t>
  </si>
  <si>
    <t>+1</t>
  </si>
  <si>
    <t>August</t>
  </si>
  <si>
    <t>+7</t>
  </si>
  <si>
    <t>September (MTD)</t>
  </si>
  <si>
    <t>YTD Total</t>
  </si>
  <si>
    <t>September new clients (6)</t>
  </si>
  <si>
    <t>2026 new-client roster (79) — sorted newest first</t>
  </si>
  <si>
    <t>First Invoice</t>
  </si>
  <si>
    <t>Month over Month</t>
  </si>
  <si>
    <t>Invoiced revenue by invoice date · cash collected by payment date · through 2026-09-30</t>
  </si>
  <si>
    <t>YTD Net Invoiced</t>
  </si>
  <si>
    <t>YTD Cash Collected</t>
  </si>
  <si>
    <t>Best Month (Aug)</t>
  </si>
  <si>
    <t>YTD Discount Rate</t>
  </si>
  <si>
    <t>Free</t>
  </si>
  <si>
    <t>Gross list $</t>
  </si>
  <si>
    <t>Discount $</t>
  </si>
  <si>
    <t>Disc %</t>
  </si>
  <si>
    <t>Net invoiced $</t>
  </si>
  <si>
    <t>Cash collected $</t>
  </si>
  <si>
    <t>YTD</t>
  </si>
  <si>
    <t>Cash and revenue move on different clocks: invoiced revenue is when the sale was booked, cash collected is when the money arrived. Amber Free cells = free rate over 25% of that month's total.</t>
  </si>
  <si>
    <t>Free Vial Watch | Customer-acquisition samples</t>
  </si>
  <si>
    <t>SAMPLE26 and FREE_VIALS only. Clinical/research and uncoded giveaways are excluded. "Converted" means a later non-research paid order was booked; this is not proof of a new customer or of sample-caused revenue.</t>
  </si>
  <si>
    <t>Clinics Sampled</t>
  </si>
  <si>
    <t>Free Vials Given</t>
  </si>
  <si>
    <t>Converted to Paid</t>
  </si>
  <si>
    <t>Conversion Rate</t>
  </si>
  <si>
    <t>List Value Given</t>
  </si>
  <si>
    <t>Revenue from Converted</t>
  </si>
  <si>
    <t>Reported Invoice COGS</t>
  </si>
  <si>
    <t>Last Free Order</t>
  </si>
  <si>
    <t>Promo(s)</t>
  </si>
  <si>
    <t>List Value</t>
  </si>
  <si>
    <t>Invoice COGS</t>
  </si>
  <si>
    <t>Paid After</t>
  </si>
  <si>
    <t>SAMPLE26, FREE_VIALS</t>
  </si>
  <si>
    <t>Still in window</t>
  </si>
  <si>
    <t>FREE_VIALS</t>
  </si>
  <si>
    <t>FREE_VIALS, SAMPLE26</t>
  </si>
  <si>
    <t>SAMPLE26</t>
  </si>
  <si>
    <t>Last call</t>
  </si>
  <si>
    <t>Close out</t>
  </si>
  <si>
    <t>Converted</t>
  </si>
  <si>
    <t>TOTALS</t>
  </si>
  <si>
    <t>List value and COGS come from the invoice, not an assumed per-vial price. Reported COGS may include shipping. Shipping below is informational only; it is not added again. No estimated shipping is used. Follow-up windows: 0–29 / 30–59 / 60+ days.</t>
  </si>
  <si>
    <t>Each free-sample order | Invoice-recorded list value and COGS</t>
  </si>
  <si>
    <t>Invoice #</t>
  </si>
  <si>
    <t>Invoice date</t>
  </si>
  <si>
    <t>Promo code</t>
  </si>
  <si>
    <t>List value ($)</t>
  </si>
  <si>
    <t>Invoice COGS ($)</t>
  </si>
  <si>
    <t>Net shipping ($)</t>
  </si>
  <si>
    <t>Source note</t>
  </si>
  <si>
    <t>ORD-EPL-1069</t>
  </si>
  <si>
    <t>Invoice matched</t>
  </si>
  <si>
    <t>ORD-EPL-1198</t>
  </si>
  <si>
    <t>ORD-EPL-1211</t>
  </si>
  <si>
    <t>ORD-EPL-1266</t>
  </si>
  <si>
    <t>Not in promo export</t>
  </si>
  <si>
    <t>ORD-EPL-1065</t>
  </si>
  <si>
    <t>ORD-EPL-1270</t>
  </si>
  <si>
    <t>Not in promo export; $0 COGS reported</t>
  </si>
  <si>
    <t>ORD-EPL-1131</t>
  </si>
  <si>
    <t>ORD-EPL-1269</t>
  </si>
  <si>
    <t>ORD-EPL-1181</t>
  </si>
  <si>
    <t>ORD-EPL-1264</t>
  </si>
  <si>
    <t>ORD-EPL-1258</t>
  </si>
  <si>
    <t>ORD-EPL-1155</t>
  </si>
  <si>
    <t>ORD-EPL-1247</t>
  </si>
  <si>
    <t>ORD-EPL-1245</t>
  </si>
  <si>
    <t>ORD-EPL-1142</t>
  </si>
  <si>
    <t>ORD-EPL-1238</t>
  </si>
  <si>
    <t>ORD-EPL-1177</t>
  </si>
  <si>
    <t>ORD-EPL-1235</t>
  </si>
  <si>
    <t>ORD-EPL-1233</t>
  </si>
  <si>
    <t>ORD-EPL-1076</t>
  </si>
  <si>
    <t>ORD-EPL-1222</t>
  </si>
  <si>
    <t>ORD-EPL-1220</t>
  </si>
  <si>
    <t>ORD-EPL-1219</t>
  </si>
  <si>
    <t>ORD-EPL-1216</t>
  </si>
  <si>
    <t>ORD-EPL-1213</t>
  </si>
  <si>
    <t>ORD-EPL-1209</t>
  </si>
  <si>
    <t>ORD-EPL-1109</t>
  </si>
  <si>
    <t>ORD-EPL-1203</t>
  </si>
  <si>
    <t>ORD-EPL-1208</t>
  </si>
  <si>
    <t>ORD-EPL-1205</t>
  </si>
  <si>
    <t>ORD-EPL-1081</t>
  </si>
  <si>
    <t>2026-05-05</t>
  </si>
  <si>
    <t>ORD-EPL-1200</t>
  </si>
  <si>
    <t>ORD-EPL-1196</t>
  </si>
  <si>
    <t>ORD-EPL-1105</t>
  </si>
  <si>
    <t>ORD-EPL-1190</t>
  </si>
  <si>
    <t>ORD-EPL-1188</t>
  </si>
  <si>
    <t>ORD-EPL-1184</t>
  </si>
  <si>
    <t>ORD-EPL-1179</t>
  </si>
  <si>
    <t>ORD-EPL-1169</t>
  </si>
  <si>
    <t>ORD-EPL-1175</t>
  </si>
  <si>
    <t>ORD-EPL-1173</t>
  </si>
  <si>
    <t>ORD-EPL-1168</t>
  </si>
  <si>
    <t>ORD-EPL-1163</t>
  </si>
  <si>
    <t>ORD-EPL-1162</t>
  </si>
  <si>
    <t>ORD-EPL-1160</t>
  </si>
  <si>
    <t>ORD-EPL-1156</t>
  </si>
  <si>
    <t>ORD-EPL-1154</t>
  </si>
  <si>
    <t>ORD-EPL-1145</t>
  </si>
  <si>
    <t>ORD-EPL-1143</t>
  </si>
  <si>
    <t>ORD-EPL-1133</t>
  </si>
  <si>
    <t>2026-07-03</t>
  </si>
  <si>
    <t>ORD-EPL-1139</t>
  </si>
  <si>
    <t>ORD-EPL-1080</t>
  </si>
  <si>
    <t>ORD-EPL-1128</t>
  </si>
  <si>
    <t>ORD-EPL-1116</t>
  </si>
  <si>
    <t>ORD-EPL-1114</t>
  </si>
  <si>
    <t>ORD-EPL-1111</t>
  </si>
  <si>
    <t>ORD-EPL-1227</t>
  </si>
  <si>
    <t>ORD-EPL-1096</t>
  </si>
  <si>
    <t>ORD-EPL-1165</t>
  </si>
  <si>
    <t>ORD-EPL-1224</t>
  </si>
  <si>
    <t>ORD-EPL-1225</t>
  </si>
  <si>
    <t>ORD-EPL-1113</t>
  </si>
  <si>
    <t>2026-06-10</t>
  </si>
  <si>
    <t>ORD-EPL-1201</t>
  </si>
  <si>
    <t>ORD-EPL-1187</t>
  </si>
  <si>
    <t>ORD-EPL-1151</t>
  </si>
  <si>
    <t>ORD-EPL-1125</t>
  </si>
  <si>
    <t>ORD-EPL-1122</t>
  </si>
  <si>
    <t>CINV-EPL-1016</t>
  </si>
  <si>
    <t>ORDER TOTALS</t>
  </si>
  <si>
    <t>Source reconciliation: this sheet uses the Invoice List. 5 sample order(s) are absent from the Promo Usage export and remain included here. This can differ from Promo Analysis totals. Reported $0 COGS is shown as supplied, not estimated.</t>
  </si>
  <si>
    <t>Outstanding Balances (Aging)</t>
  </si>
  <si>
    <t>Source: Client Summary (open balance from QuickBooks)  ·  as of 2026-09-30</t>
  </si>
  <si>
    <t>Invoiced</t>
  </si>
  <si>
    <t>Days Since</t>
  </si>
  <si>
    <t>Call Priority</t>
  </si>
  <si>
    <t>Call this week</t>
  </si>
  <si>
    <t>Within terms — monitor</t>
  </si>
  <si>
    <t>Escalate — 90+ days quiet</t>
  </si>
  <si>
    <t>At-Risk / Inactive Accounts</t>
  </si>
  <si>
    <t>Client Name</t>
  </si>
  <si>
    <t>Email</t>
  </si>
  <si>
    <t>Assigned Rep</t>
  </si>
  <si>
    <t>Activity Status</t>
  </si>
  <si>
    <t>Transfer Orders</t>
  </si>
  <si>
    <t>Regular Orders</t>
  </si>
  <si>
    <t>Total Spent</t>
  </si>
  <si>
    <t>Total Paid</t>
  </si>
  <si>
    <t>First Order Date</t>
  </si>
  <si>
    <t>Last Order Date</t>
  </si>
  <si>
    <t>taryn.parsonage@vmitexas.com</t>
  </si>
  <si>
    <t>james@tannerequine.com</t>
  </si>
  <si>
    <t>info@tryonequine.com</t>
  </si>
  <si>
    <t>Sam Crosby</t>
  </si>
  <si>
    <t>scequine26@gmail.com</t>
  </si>
  <si>
    <t>Dr. Mike Major</t>
  </si>
  <si>
    <t>oakridgeequine@sbcglobal.net</t>
  </si>
  <si>
    <t>Josh Blyden</t>
  </si>
  <si>
    <t>iesvets@aol.com</t>
  </si>
  <si>
    <t>Lindsay Hower</t>
  </si>
  <si>
    <t>lhowerdvm@gmail.com</t>
  </si>
  <si>
    <t>feinervet@gmail.com</t>
  </si>
  <si>
    <t>Dr. Nicole Wettstein</t>
  </si>
  <si>
    <t>info@kentuckyequinemed.com</t>
  </si>
  <si>
    <t>Dr. Emily Wahl</t>
  </si>
  <si>
    <t>flatriverveterinary@gmail.com</t>
  </si>
  <si>
    <t>Dr. Michael Fugaro</t>
  </si>
  <si>
    <t>info@mpevet.com</t>
  </si>
  <si>
    <t>Dr. Tommy Hays</t>
  </si>
  <si>
    <t>melissa.cleveland@thrivepet.com</t>
  </si>
  <si>
    <t>Dr. Sasha Hill</t>
  </si>
  <si>
    <t>julie@clevelandequine.com</t>
  </si>
  <si>
    <t>Dr. Byron Reid</t>
  </si>
  <si>
    <t>bvreid@aol.com</t>
  </si>
  <si>
    <t>Mitch Lowrey</t>
  </si>
  <si>
    <t>equinesportsdvm@gmail.com</t>
  </si>
  <si>
    <t>Jana Aguel Dvm</t>
  </si>
  <si>
    <t>draguel@perfectbalancevet.com</t>
  </si>
  <si>
    <t>Haynes Stevens</t>
  </si>
  <si>
    <t>equineserviceltd@aol.com</t>
  </si>
  <si>
    <t>Tracy Mandrona</t>
  </si>
  <si>
    <t>mandronath2402@gmail.com</t>
  </si>
  <si>
    <t>Dr. Megan Stuhlfauth</t>
  </si>
  <si>
    <t>signaturesequine@gmail.com</t>
  </si>
  <si>
    <t>Don Lee</t>
  </si>
  <si>
    <t>kenzie@xxvets.com</t>
  </si>
  <si>
    <t>Paul Jenson</t>
  </si>
  <si>
    <t>drjenson@gmail.com</t>
  </si>
  <si>
    <t>Alanna Farrell DVM</t>
  </si>
  <si>
    <t>pvh.inventory@pathwayvet.com</t>
  </si>
  <si>
    <t>sbranch@equinesportsmedicine.com</t>
  </si>
  <si>
    <t>Rod Daniel</t>
  </si>
  <si>
    <t>rdequine@gmail.com</t>
  </si>
  <si>
    <t>Matthew Smith</t>
  </si>
  <si>
    <t>mksmithdvm@yahoo.com</t>
  </si>
  <si>
    <t>Dr. Chris Morrow</t>
  </si>
  <si>
    <t>chrismorrowdvm@gmail.com</t>
  </si>
  <si>
    <t>office@desertpinesequine.com</t>
  </si>
  <si>
    <t>Megan Petty</t>
  </si>
  <si>
    <t>meganpettydvm@gmail.com</t>
  </si>
  <si>
    <t>Dr. Karl Nagle</t>
  </si>
  <si>
    <t>office@cnequine.com</t>
  </si>
  <si>
    <t>andrew.smith@petersonsmith.com</t>
  </si>
  <si>
    <t>Noah Grimes</t>
  </si>
  <si>
    <t>grimesdvm@gmail.com</t>
  </si>
  <si>
    <t>chris@kyequinehospital.com</t>
  </si>
  <si>
    <t>ap.woodlandrunequine@gmail.com</t>
  </si>
  <si>
    <t>info@oehvet.com</t>
  </si>
  <si>
    <t>Dr. Ron Gaeta</t>
  </si>
  <si>
    <t>pharmacy@fairfieldequine.com</t>
  </si>
  <si>
    <t>Dr. Kent Allen</t>
  </si>
  <si>
    <t>mail@vaequine.com</t>
  </si>
  <si>
    <t>Ian Cambell</t>
  </si>
  <si>
    <t>renee@santaluciafarm.com</t>
  </si>
  <si>
    <t>Dr. Mark Christine</t>
  </si>
  <si>
    <t>macdvm82@gmail.com</t>
  </si>
  <si>
    <t>Clayton Smith</t>
  </si>
  <si>
    <t>cdsmithdvm@gmail.com</t>
  </si>
  <si>
    <t>Dr. Paul Zimprich</t>
  </si>
  <si>
    <t>jzimprich@east-coast-equine.com</t>
  </si>
  <si>
    <t>Dr. Charlie Buchanan</t>
  </si>
  <si>
    <t>shane.newsome@sehtx.com</t>
  </si>
  <si>
    <t>Dr. Becky Hicks (Medical Director)</t>
  </si>
  <si>
    <t>info@pioneerequine.com</t>
  </si>
  <si>
    <t>Josh Harvey</t>
  </si>
  <si>
    <t>khull@outlawvets.com</t>
  </si>
  <si>
    <t>Randy Lewis</t>
  </si>
  <si>
    <t>westtexasequineclinic@outlook.com</t>
  </si>
  <si>
    <t>glavets@bellsouth.net</t>
  </si>
  <si>
    <t>Reanna Stahl, DVM</t>
  </si>
  <si>
    <t>stahldvm@gmail.com</t>
  </si>
  <si>
    <t>Richard Rocconi</t>
  </si>
  <si>
    <t>info@midsouthequine.com</t>
  </si>
  <si>
    <t>Dr. Jason Ginn</t>
  </si>
  <si>
    <t>ginnequine@gmail.com</t>
  </si>
  <si>
    <t>David Dutton</t>
  </si>
  <si>
    <t>dmduttondvm@gmail.com</t>
  </si>
  <si>
    <t>Cody Johnson</t>
  </si>
  <si>
    <t>staff@rotequine.com</t>
  </si>
  <si>
    <t>Karen Shaw</t>
  </si>
  <si>
    <t>bookkeeping@panoramaequine.com</t>
  </si>
  <si>
    <t>Dr. Nathaniel Wright</t>
  </si>
  <si>
    <t>nathaniel@eastforkequine.com</t>
  </si>
  <si>
    <t>Dr. Kate Stephenson</t>
  </si>
  <si>
    <t>drkateocala@gmail.com</t>
  </si>
  <si>
    <t>Rick Olson</t>
  </si>
  <si>
    <t>bvcpc@pldi.net</t>
  </si>
  <si>
    <t>white@austinequine.com</t>
  </si>
  <si>
    <t>justin@springhillequine.com</t>
  </si>
  <si>
    <t>Dr. Jeremy Frederick</t>
  </si>
  <si>
    <t>jfrederick@advancedequinehv.com</t>
  </si>
  <si>
    <t>Mark Revenaugh</t>
  </si>
  <si>
    <t>mark@equinepi.com</t>
  </si>
  <si>
    <t>Chris Ray</t>
  </si>
  <si>
    <t>info@113equine.com</t>
  </si>
  <si>
    <t>Dr. Gregory Staller</t>
  </si>
  <si>
    <t>info@runningsequine.com</t>
  </si>
  <si>
    <t>Dr. Daniel Devis</t>
  </si>
  <si>
    <t>apinvoices@roodandriddle.com</t>
  </si>
  <si>
    <t>Dr. Jesslyn Bryk-Lucy</t>
  </si>
  <si>
    <t>jbryklucy@gmail.com</t>
  </si>
  <si>
    <t>Dr. Blake Everett</t>
  </si>
  <si>
    <t>accounting@equinesurgicalcenter.com</t>
  </si>
  <si>
    <t>Kristin Shivers</t>
  </si>
  <si>
    <t>kristin@mcmahonandhill.com</t>
  </si>
  <si>
    <t>Dr. Natanya Nieman</t>
  </si>
  <si>
    <t>nniemandvm@winstarfarm.com</t>
  </si>
  <si>
    <t>Dr. Kim Braeutigam</t>
  </si>
  <si>
    <t>fourwindsequine@gmail.com</t>
  </si>
  <si>
    <t>Courtney Kennedy</t>
  </si>
  <si>
    <t>kennedyequine@gmail.com</t>
  </si>
  <si>
    <t>Weatherford Equine</t>
  </si>
  <si>
    <t>admin@weatherfordequine.com</t>
  </si>
  <si>
    <t>Dr. Scott Shell</t>
  </si>
  <si>
    <t>tracys4boys@yahoo.com</t>
  </si>
  <si>
    <t>Kelly Shaw</t>
  </si>
  <si>
    <t>accounting@cnequine.com</t>
  </si>
  <si>
    <t>James Lillich</t>
  </si>
  <si>
    <t>jlillich@centralwashingtonequinehospital.com</t>
  </si>
  <si>
    <t>Paul Zancanella</t>
  </si>
  <si>
    <t>paulzanc@wyoming.com</t>
  </si>
  <si>
    <t>kristin.hendrickson@centenaryuniversity.edu</t>
  </si>
  <si>
    <t>Jon Johnson</t>
  </si>
  <si>
    <t>jon.johnson@bveh.com</t>
  </si>
  <si>
    <t>Colter Negranti</t>
  </si>
  <si>
    <t>pasoroblesequine@gmail.com</t>
  </si>
  <si>
    <t>Wade Spradley</t>
  </si>
  <si>
    <t>drspradley@tulsaequine.com</t>
  </si>
  <si>
    <t>Craig Sweat</t>
  </si>
  <si>
    <t>ntvhon920@gmail.com</t>
  </si>
  <si>
    <t>frontdesk@equineclinic.com</t>
  </si>
  <si>
    <t>testing@testing.com</t>
  </si>
  <si>
    <t>pevsblood@gmail.com</t>
  </si>
  <si>
    <t>Dr. Benjamin Lognion</t>
  </si>
  <si>
    <t>test1@testemail.com</t>
  </si>
  <si>
    <t>jclay@fevaocala.com</t>
  </si>
  <si>
    <t>Dr. Emily Johnson</t>
  </si>
  <si>
    <t>emjohnsondvm@gmail.com</t>
  </si>
  <si>
    <t>Amy Peoples</t>
  </si>
  <si>
    <t>siequine@gmail.com</t>
  </si>
  <si>
    <t>Amanda Bowen</t>
  </si>
  <si>
    <t>amanda-bowen@comcast.net</t>
  </si>
  <si>
    <t>Dr. Kelly Giunta</t>
  </si>
  <si>
    <t>finance@blueridgeequine.com</t>
  </si>
  <si>
    <t>John Cummins</t>
  </si>
  <si>
    <t>jrcdvm@gmail.com</t>
  </si>
  <si>
    <t>Brad Hill</t>
  </si>
  <si>
    <t>eavs+expenses@assist.intuit.com</t>
  </si>
  <si>
    <t>Dr. Charley McColough</t>
  </si>
  <si>
    <t>charleymccolough@whetstoneequine.com</t>
  </si>
  <si>
    <t>Elizabeth Maloney</t>
  </si>
  <si>
    <t>info@equinetherapies.net</t>
  </si>
  <si>
    <t>Robert Meyer</t>
  </si>
  <si>
    <t>info@neuseriverequinehospital.com</t>
  </si>
  <si>
    <t>Victoria Banks</t>
  </si>
  <si>
    <t>victoria.banks6@gmail.com</t>
  </si>
  <si>
    <t>Craig Niblett</t>
  </si>
  <si>
    <t>cniblettdvm@gmail.com</t>
  </si>
  <si>
    <t>Cori Youngblood</t>
  </si>
  <si>
    <t>olympicviewequine@gmail.com</t>
  </si>
  <si>
    <t>RACHEL A KANE</t>
  </si>
  <si>
    <t>rakdvm18@gmail.com</t>
  </si>
  <si>
    <t>Ann Kemper</t>
  </si>
  <si>
    <t>annkemperdvm@gmail.com</t>
  </si>
  <si>
    <t>Nicole Swinehart</t>
  </si>
  <si>
    <t>office@southcarolinaequine.com</t>
  </si>
  <si>
    <t>Karen Bulluck</t>
  </si>
  <si>
    <t>karenbulluck@me.dom</t>
  </si>
  <si>
    <t>Christopher Elliott</t>
  </si>
  <si>
    <t>chrisbvsc@gmail.com</t>
  </si>
  <si>
    <t>Britta Leise</t>
  </si>
  <si>
    <t>bleise@lsu.edu</t>
  </si>
  <si>
    <t>Brent Pascoe</t>
  </si>
  <si>
    <t>loneoaklargeanimal@gmail.com</t>
  </si>
  <si>
    <t>Caleb J. Harms</t>
  </si>
  <si>
    <t>cjharmsdvm@omniequine.com</t>
  </si>
  <si>
    <t>Brett Gaby</t>
  </si>
  <si>
    <t>bgaby@essexequine.net</t>
  </si>
  <si>
    <t>Jacobo Rodriguez</t>
  </si>
  <si>
    <t>jrequinevet@gmail.com</t>
  </si>
  <si>
    <t>Ross Russell</t>
  </si>
  <si>
    <t>russe292@gmail.com</t>
  </si>
  <si>
    <t>Courtney Ransom</t>
  </si>
  <si>
    <t>courtneyransom554@gmail.com</t>
  </si>
  <si>
    <t>John Janicek</t>
  </si>
  <si>
    <t>office@saladomc.com</t>
  </si>
  <si>
    <t>Meg Branning</t>
  </si>
  <si>
    <t>mbranningdvm@gmail.com</t>
  </si>
  <si>
    <t>Rod Moberg</t>
  </si>
  <si>
    <t>rodmoberg@gmail.com</t>
  </si>
  <si>
    <t>AXEL SONDHOF</t>
  </si>
  <si>
    <t>asondhof@yahoo.com</t>
  </si>
  <si>
    <t>How to refresh this report each week</t>
  </si>
  <si>
    <t>1. Export the latest Client Activity Report, Invoice List, and Received Payments file.</t>
  </si>
  <si>
    <t>2. Upload all three in the EPL Sales Hub Admin tab.</t>
  </si>
  <si>
    <t>3. Click 'Download Weekly Recap (Excel)' to generate this file.</t>
  </si>
  <si>
    <t>Sheets: Dashboard · Profit &amp; Loss · Projections vs Actual · Rep detail (one per rep) ·</t>
  </si>
  <si>
    <t>Top Accounts · New Clients · Outstanding AR · At-Risk · All Data.</t>
  </si>
  <si>
    <t>Definitions:</t>
  </si>
  <si>
    <t xml:space="preserve">  • MTD = Month-to-date based on the report file date.</t>
  </si>
  <si>
    <t xml:space="preserve">  • Net Revenue = Final Invoice Amount (after Discounts Given) from QuickBooks.</t>
  </si>
  <si>
    <t xml:space="preserve">  • Gross Profit = Net Revenue − COGS.</t>
  </si>
  <si>
    <t xml:space="preserve">  • Gross Margin % = Gross Profit ÷ Net Revenue.</t>
  </si>
  <si>
    <t xml:space="preserve">  • Contribution Margin = Gross Profit − Shipping Cost (true $ retained before SG&amp;A).</t>
  </si>
  <si>
    <t xml:space="preserve">  • MTD Collected = payments received this month (drives commission, not P&amp;L).</t>
  </si>
  <si>
    <t xml:space="preserve">  • % Collected = Total Paid ÷ Total Spent (lifetime, cumulative).</t>
  </si>
  <si>
    <t xml:space="preserve">  • Outstanding = Lifetime unpaid AR per client (everything reps still need to chase).</t>
  </si>
  <si>
    <t xml:space="preserve">  • New Client = First Order Date falls in the current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</si>
</sst>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"/>
    <numFmt numFmtId="165" formatCode="0.0%"/>
    <numFmt numFmtId="166" formatCode="&quot;$&quot;#,##0;(&quot;$&quot;#,##0);&quot;-&quot;"/>
    <numFmt numFmtId="167" formatCode="&quot;$&quot;#,##0.00"/>
    <numFmt numFmtId="168" formatCode="&quot;$&quot;#,##0.00;(&quot;$&quot;#,##0.00);&quot;$&quot;0.00"/>
  </numFmts>
  <fonts count="33" x14ac:knownFonts="1">
    <font>
      <color theme="1"/>
      <family val="2"/>
      <scheme val="minor"/>
      <sz val="11"/>
      <name val="Calibri"/>
    </font>
    <font>
      <b/>
      <color rgb="FFFFFF"/>
      <sz val="22"/>
      <name val="Calibri"/>
    </font>
    <font>
      <i/>
      <color rgb="7A7974"/>
      <sz val="11"/>
      <name val="Calibri"/>
    </font>
    <font>
      <b/>
      <color rgb="7A7974"/>
      <sz val="10"/>
      <name val="Calibri"/>
    </font>
    <font>
      <b/>
      <color rgb="0C4E54"/>
      <sz val="22"/>
      <name val="Calibri"/>
    </font>
    <font>
      <b/>
      <color rgb="FFFFFF"/>
      <sz val="14"/>
      <name val="Calibri"/>
    </font>
    <font>
      <i/>
      <color rgb="7A7974"/>
      <sz val="10"/>
      <name val="Calibri"/>
    </font>
    <font>
      <b/>
      <color rgb="28251D"/>
      <sz val="11"/>
      <name val="Calibri"/>
    </font>
    <font>
      <color rgb="28251D"/>
      <sz val="11"/>
      <name val="Calibri"/>
    </font>
    <font>
      <sz val="11"/>
      <name val="Calibri"/>
    </font>
    <font>
      <b/>
      <color rgb="0C4E54"/>
      <sz val="11"/>
      <name val="Calibri"/>
    </font>
    <font>
      <color rgb="5A5853"/>
      <sz val="11"/>
      <name val="Calibri"/>
    </font>
    <font>
      <i/>
      <color rgb="9A9690"/>
      <sz val="9"/>
      <name val="Calibri"/>
    </font>
    <font>
      <b/>
      <color rgb="C0392B"/>
      <sz val="9"/>
      <name val="Calibri"/>
    </font>
    <font>
      <color rgb="B0AEA8"/>
      <sz val="11"/>
      <name val="Calibri"/>
    </font>
    <font>
      <b/>
      <color rgb="4E9F3D"/>
      <sz val="9"/>
      <name val="Calibri"/>
    </font>
    <font>
      <b/>
      <color rgb="FFFFFF"/>
      <sz val="18"/>
      <name val="Calibri"/>
    </font>
    <font>
      <b/>
      <sz val="10"/>
      <name val="Calibri"/>
    </font>
    <font>
      <sz val="10"/>
      <name val="Calibri"/>
    </font>
    <font>
      <color rgb="7A7974"/>
      <sz val="10"/>
      <name val="Calibri"/>
    </font>
    <font>
      <color rgb="C97A1F"/>
      <sz val="10"/>
      <name val="Calibri"/>
    </font>
    <font>
      <b/>
      <color rgb="B22222"/>
      <sz val="10"/>
      <name val="Calibri"/>
    </font>
    <font>
      <b/>
      <color rgb="0C4E54"/>
      <sz val="10"/>
      <name val="Calibri"/>
    </font>
    <font>
      <b/>
      <color rgb="FFFFFF"/>
      <sz val="20"/>
      <name val="Calibri"/>
    </font>
    <font>
      <b/>
      <color rgb="FFFFFF"/>
      <sz val="13"/>
      <name val="Calibri"/>
    </font>
    <font>
      <b/>
      <color rgb="0C4E54"/>
      <sz val="12"/>
      <name val="Calibri"/>
    </font>
    <font>
      <b/>
      <sz val="11"/>
      <name val="Calibri"/>
    </font>
    <font>
      <color rgb="7A7974"/>
      <sz val="11"/>
      <name val="Calibri"/>
    </font>
    <font>
      <b/>
      <color rgb="1E7F3E"/>
      <sz val="11"/>
      <name val="Calibri"/>
    </font>
    <font>
      <b/>
      <color rgb="B22222"/>
      <sz val="11"/>
      <name val="Calibri"/>
    </font>
    <font>
      <b/>
      <color rgb="964219"/>
      <sz val="11"/>
      <name val="Calibri"/>
    </font>
    <font>
      <b/>
      <color rgb="964219"/>
      <sz val="10"/>
      <name val="Calibri"/>
    </font>
    <font>
      <b/>
      <color rgb="1E7F3E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0D3D36"/>
      </patternFill>
    </fill>
    <fill>
      <patternFill patternType="solid">
        <fgColor rgb="E6F0F1"/>
      </patternFill>
    </fill>
    <fill>
      <patternFill patternType="solid">
        <fgColor rgb="F2F1EC"/>
      </patternFill>
    </fill>
    <fill>
      <patternFill patternType="solid">
        <fgColor rgb="FFFFFF"/>
      </patternFill>
    </fill>
    <fill>
      <patternFill patternType="solid">
        <fgColor rgb="FFF3E6"/>
      </patternFill>
    </fill>
    <fill>
      <patternFill patternType="solid">
        <fgColor rgb="F8D7DA"/>
      </patternFill>
    </fill>
    <fill>
      <patternFill patternType="solid">
        <fgColor rgb="D4EDDA"/>
      </patternFill>
    </fill>
  </fills>
  <borders count="4">
    <border>
      <left/>
      <right/>
      <top/>
      <bottom/>
      <diagonal/>
    </border>
    <border>
      <left style="thin">
        <color rgb="D4D1CA"/>
      </left>
      <right style="thin">
        <color rgb="D4D1CA"/>
      </right>
      <top style="thin">
        <color rgb="D4D1CA"/>
      </top>
      <bottom style="thin">
        <color rgb="D4D1CA"/>
      </bottom>
      <diagonal/>
    </border>
    <border>
      <left style="thin">
        <color rgb="D4D1CA"/>
      </left>
      <right style="thin">
        <color rgb="D4D1CA"/>
      </right>
      <top style="thin">
        <color rgb="D4D1CA"/>
      </top>
      <bottom/>
      <diagonal/>
    </border>
    <border>
      <left style="thin">
        <color rgb="D4D1CA"/>
      </left>
      <right style="thin">
        <color rgb="D4D1CA"/>
      </right>
      <top/>
      <bottom style="thin">
        <color rgb="D4D1CA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166" fontId="9" fillId="0" borderId="2" xfId="0" applyNumberFormat="1" applyFont="1" applyBorder="1" applyAlignment="1">
      <alignment horizontal="right" vertical="center"/>
    </xf>
    <xf numFmtId="166" fontId="10" fillId="3" borderId="2" xfId="0" applyNumberFormat="1" applyFont="1" applyFill="1" applyBorder="1" applyAlignment="1">
      <alignment horizontal="right" vertical="center"/>
    </xf>
    <xf numFmtId="166" fontId="11" fillId="0" borderId="2" xfId="0" applyNumberFormat="1" applyFont="1" applyBorder="1" applyAlignment="1">
      <alignment horizontal="right" vertical="center"/>
    </xf>
    <xf numFmtId="0" fontId="0" fillId="5" borderId="3" xfId="0" applyFill="1" applyBorder="1"/>
    <xf numFmtId="0" fontId="12" fillId="0" borderId="3" xfId="0" applyFont="1" applyBorder="1" applyAlignment="1">
      <alignment horizontal="right" vertical="center"/>
    </xf>
    <xf numFmtId="0" fontId="12" fillId="3" borderId="3" xfId="0" applyFont="1" applyFill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0" fillId="0" borderId="3" xfId="0" applyBorder="1"/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0" fontId="13" fillId="3" borderId="3" xfId="0" applyFont="1" applyFill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165" fontId="10" fillId="3" borderId="2" xfId="0" applyNumberFormat="1" applyFont="1" applyFill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0" fontId="16" fillId="2" borderId="0" xfId="0" applyFont="1" applyFill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3" fontId="18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165" fontId="18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164" fontId="22" fillId="0" borderId="1" xfId="0" applyNumberFormat="1" applyFont="1" applyBorder="1" applyAlignment="1">
      <alignment horizontal="right" vertical="center"/>
    </xf>
    <xf numFmtId="0" fontId="22" fillId="3" borderId="1" xfId="0" applyFont="1" applyFill="1" applyBorder="1" applyAlignment="1">
      <alignment horizontal="left" vertical="center" indent="1"/>
    </xf>
    <xf numFmtId="3" fontId="22" fillId="3" borderId="1" xfId="0" applyNumberFormat="1" applyFont="1" applyFill="1" applyBorder="1" applyAlignment="1">
      <alignment horizontal="right" vertical="center"/>
    </xf>
    <xf numFmtId="164" fontId="22" fillId="3" borderId="1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left" vertical="center" indent="1"/>
    </xf>
    <xf numFmtId="3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24" fillId="2" borderId="0" xfId="0" applyFont="1" applyFill="1" applyAlignment="1">
      <alignment horizontal="left" vertical="center" indent="1"/>
    </xf>
    <xf numFmtId="0" fontId="0" fillId="0" borderId="1" xfId="0" applyBorder="1"/>
    <xf numFmtId="0" fontId="6" fillId="0" borderId="0" xfId="0" applyFont="1"/>
    <xf numFmtId="0" fontId="25" fillId="0" borderId="0" xfId="0" applyFont="1" applyAlignment="1">
      <alignment horizontal="left" vertical="center"/>
    </xf>
    <xf numFmtId="3" fontId="26" fillId="0" borderId="1" xfId="0" applyNumberFormat="1" applyFont="1" applyBorder="1" applyAlignment="1">
      <alignment horizontal="right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 indent="1"/>
    </xf>
    <xf numFmtId="3" fontId="10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25" fillId="0" borderId="0" xfId="0" applyFont="1"/>
    <xf numFmtId="0" fontId="0" fillId="0" borderId="1" xfId="0" applyBorder="1" applyAlignment="1">
      <alignment horizontal="center"/>
    </xf>
    <xf numFmtId="165" fontId="9" fillId="0" borderId="1" xfId="0" applyNumberFormat="1" applyFont="1" applyBorder="1" applyAlignment="1">
      <alignment horizontal="right" vertical="center"/>
    </xf>
    <xf numFmtId="166" fontId="26" fillId="0" borderId="1" xfId="0" applyNumberFormat="1" applyFont="1" applyBorder="1" applyAlignment="1">
      <alignment horizontal="right" vertical="center"/>
    </xf>
    <xf numFmtId="3" fontId="30" fillId="6" borderId="1" xfId="0" applyNumberFormat="1" applyFont="1" applyFill="1" applyBorder="1" applyAlignment="1">
      <alignment horizontal="right" vertical="center"/>
    </xf>
    <xf numFmtId="166" fontId="10" fillId="3" borderId="1" xfId="0" applyNumberFormat="1" applyFont="1" applyFill="1" applyBorder="1" applyAlignment="1">
      <alignment horizontal="right" vertical="center"/>
    </xf>
    <xf numFmtId="165" fontId="10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wrapText="1"/>
    </xf>
    <xf numFmtId="167" fontId="4" fillId="3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/>
    </xf>
    <xf numFmtId="167" fontId="9" fillId="0" borderId="1" xfId="0" applyNumberFormat="1" applyFont="1" applyBorder="1" applyAlignment="1">
      <alignment horizontal="right" vertical="center"/>
    </xf>
    <xf numFmtId="0" fontId="22" fillId="3" borderId="1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166" fontId="28" fillId="0" borderId="1" xfId="0" applyNumberFormat="1" applyFont="1" applyBorder="1" applyAlignment="1">
      <alignment horizontal="right" vertical="center"/>
    </xf>
    <xf numFmtId="0" fontId="32" fillId="8" borderId="1" xfId="0" applyFont="1" applyFill="1" applyBorder="1" applyAlignment="1">
      <alignment horizontal="center"/>
    </xf>
    <xf numFmtId="0" fontId="26" fillId="0" borderId="0" xfId="0" applyFont="1"/>
    <xf numFmtId="167" fontId="10" fillId="3" borderId="0" xfId="0" applyNumberFormat="1" applyFont="1" applyFill="1"/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 wrapText="1"/>
    </xf>
    <xf numFmtId="168" fontId="18" fillId="0" borderId="1" xfId="0" applyNumberFormat="1" applyFont="1" applyBorder="1" applyAlignment="1">
      <alignment horizontal="right" vertical="center" wrapText="1"/>
    </xf>
    <xf numFmtId="3" fontId="26" fillId="0" borderId="0" xfId="0" applyNumberFormat="1" applyFont="1"/>
    <xf numFmtId="167" fontId="26" fillId="0" borderId="0" xfId="0" applyNumberFormat="1" applyFont="1"/>
    <xf numFmtId="0" fontId="18" fillId="0" borderId="0" xfId="0" applyFont="1" applyAlignment="1">
      <alignment wrapTex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5"/>
  <sheetFormatPr defaultRowHeight="15" outlineLevelRow="0" outlineLevelCol="0" x14ac:dyDescent="55"/>
  <cols>
    <col min="1" max="1" width="3" customWidth="1"/>
    <col min="2" max="2" width="28" customWidth="1"/>
    <col min="3" max="5" width="20" customWidth="1"/>
    <col min="6" max="7" width="17" customWidth="1"/>
    <col min="8" max="12" width="15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6" spans="2:9" x14ac:dyDescent="0.25">
      <c r="B6" s="3" t="s">
        <v>2</v>
      </c>
      <c r="C6" s="3"/>
      <c r="D6" s="3" t="s">
        <v>3</v>
      </c>
      <c r="E6" s="3"/>
      <c r="F6" s="3" t="s">
        <v>4</v>
      </c>
      <c r="G6" s="3"/>
      <c r="H6" s="3" t="s">
        <v>5</v>
      </c>
      <c r="I6" s="3"/>
    </row>
    <row r="7" spans="2:9" x14ac:dyDescent="0.25">
      <c r="B7" s="4">
        <v>93000</v>
      </c>
      <c r="C7" s="4"/>
      <c r="D7" s="4">
        <v>71750</v>
      </c>
      <c r="E7" s="4"/>
      <c r="F7" s="4">
        <v>90761</v>
      </c>
      <c r="G7" s="4"/>
      <c r="H7" s="5">
        <v>0.9759247311827957</v>
      </c>
      <c r="I7" s="5"/>
    </row>
    <row r="8" spans="2:9" x14ac:dyDescent="0.25">
      <c r="B8" s="4"/>
      <c r="C8" s="4"/>
      <c r="D8" s="4"/>
      <c r="E8" s="4"/>
      <c r="F8" s="4"/>
      <c r="G8" s="4"/>
      <c r="H8" s="5"/>
      <c r="I8" s="5"/>
    </row>
    <row r="9" spans="2:9" x14ac:dyDescent="0.25">
      <c r="B9" s="3" t="s">
        <v>6</v>
      </c>
      <c r="C9" s="3"/>
      <c r="D9" s="3" t="s">
        <v>7</v>
      </c>
      <c r="E9" s="3"/>
      <c r="F9" s="3" t="s">
        <v>8</v>
      </c>
      <c r="G9" s="3"/>
      <c r="H9" s="3" t="s">
        <v>9</v>
      </c>
      <c r="I9" s="3"/>
    </row>
    <row r="10" spans="2:9" x14ac:dyDescent="0.25">
      <c r="B10" s="4">
        <v>445985</v>
      </c>
      <c r="C10" s="4"/>
      <c r="D10" s="4">
        <v>361810</v>
      </c>
      <c r="E10" s="4"/>
      <c r="F10" s="6">
        <v>46</v>
      </c>
      <c r="G10" s="6"/>
      <c r="H10" s="4">
        <v>66100</v>
      </c>
      <c r="I10" s="4"/>
    </row>
    <row r="11" spans="2:9" x14ac:dyDescent="0.25">
      <c r="B11" s="4"/>
      <c r="C11" s="4"/>
      <c r="D11" s="4"/>
      <c r="E11" s="4"/>
      <c r="F11" s="6"/>
      <c r="G11" s="6"/>
      <c r="H11" s="4"/>
      <c r="I11" s="4"/>
    </row>
    <row r="12" spans="2:9" x14ac:dyDescent="0.25">
      <c r="B12" s="3" t="s">
        <v>10</v>
      </c>
      <c r="C12" s="3"/>
      <c r="D12" s="3" t="s">
        <v>11</v>
      </c>
      <c r="E12" s="3"/>
      <c r="F12" s="3" t="s">
        <v>12</v>
      </c>
      <c r="G12" s="3"/>
      <c r="H12" s="3" t="s">
        <v>13</v>
      </c>
      <c r="I12" s="3"/>
    </row>
    <row r="13" spans="2:9" x14ac:dyDescent="0.25">
      <c r="B13" s="4">
        <v>374030</v>
      </c>
      <c r="C13" s="4"/>
      <c r="D13" s="5">
        <v>0.45612580257678215</v>
      </c>
      <c r="E13" s="5"/>
      <c r="F13" s="5">
        <v>0.8347263248763974</v>
      </c>
      <c r="G13" s="5"/>
      <c r="H13" s="5">
        <v>0.328822718252856</v>
      </c>
      <c r="I13" s="5"/>
    </row>
    <row r="14" spans="2:9" x14ac:dyDescent="0.25">
      <c r="B14" s="4"/>
      <c r="C14" s="4"/>
      <c r="D14" s="5"/>
      <c r="E14" s="5"/>
      <c r="F14" s="5"/>
      <c r="G14" s="5"/>
      <c r="H14" s="5"/>
      <c r="I14" s="5"/>
    </row>
    <row r="17" ht="26" customHeight="1" spans="2:5" x14ac:dyDescent="0.25">
      <c r="B17" s="7" t="s">
        <v>14</v>
      </c>
      <c r="C17" s="7"/>
      <c r="D17" s="7"/>
      <c r="E17" s="7"/>
    </row>
    <row r="18" ht="18" customHeight="1" spans="2:5" x14ac:dyDescent="0.25">
      <c r="B18" s="8" t="s">
        <v>15</v>
      </c>
      <c r="C18" s="8"/>
      <c r="D18" s="8"/>
      <c r="E18" s="8"/>
    </row>
    <row r="19" ht="32" customHeight="1" spans="2:7" x14ac:dyDescent="0.25">
      <c r="B19" s="9" t="s">
        <v>16</v>
      </c>
      <c r="C19" s="9" t="s">
        <v>17</v>
      </c>
      <c r="D19" s="9" t="s">
        <v>18</v>
      </c>
      <c r="E19" s="9" t="s">
        <v>19</v>
      </c>
      <c r="F19" s="9" t="s">
        <v>20</v>
      </c>
      <c r="G19" s="9" t="s">
        <v>21</v>
      </c>
    </row>
    <row r="20" ht="22" customHeight="1" spans="2:7" x14ac:dyDescent="0.25">
      <c r="B20" s="10" t="s">
        <v>2</v>
      </c>
      <c r="C20" s="11">
        <v>53550</v>
      </c>
      <c r="D20" s="11">
        <v>39450</v>
      </c>
      <c r="E20" s="12">
        <v>93000</v>
      </c>
      <c r="F20" s="13">
        <v>109650</v>
      </c>
      <c r="G20" s="13">
        <v>109650</v>
      </c>
    </row>
    <row r="21" ht="14" customHeight="1" spans="2:7" x14ac:dyDescent="0.25">
      <c r="B21" s="14" t="s">
        <v>22</v>
      </c>
      <c r="C21" s="15" t="s">
        <v>23</v>
      </c>
      <c r="D21" s="15" t="s">
        <v>23</v>
      </c>
      <c r="E21" s="16" t="s">
        <v>23</v>
      </c>
      <c r="F21" s="17" t="s">
        <v>24</v>
      </c>
      <c r="G21" s="18" t="s">
        <v>22</v>
      </c>
    </row>
    <row r="22" ht="22" customHeight="1" spans="2:7" x14ac:dyDescent="0.25">
      <c r="B22" s="10" t="s">
        <v>3</v>
      </c>
      <c r="C22" s="11">
        <v>28200</v>
      </c>
      <c r="D22" s="11">
        <v>43550</v>
      </c>
      <c r="E22" s="12">
        <v>71750</v>
      </c>
      <c r="F22" s="13">
        <v>75300</v>
      </c>
      <c r="G22" s="13">
        <v>75300</v>
      </c>
    </row>
    <row r="23" ht="14" customHeight="1" spans="2:7" x14ac:dyDescent="0.25">
      <c r="B23" s="14" t="s">
        <v>22</v>
      </c>
      <c r="C23" s="15" t="s">
        <v>23</v>
      </c>
      <c r="D23" s="15" t="s">
        <v>23</v>
      </c>
      <c r="E23" s="16" t="s">
        <v>23</v>
      </c>
      <c r="F23" s="17" t="s">
        <v>25</v>
      </c>
      <c r="G23" s="18" t="s">
        <v>22</v>
      </c>
    </row>
    <row r="24" ht="22" customHeight="1" spans="2:7" x14ac:dyDescent="0.25">
      <c r="B24" s="10" t="s">
        <v>6</v>
      </c>
      <c r="C24" s="11">
        <v>299360</v>
      </c>
      <c r="D24" s="11">
        <v>146625</v>
      </c>
      <c r="E24" s="12">
        <v>445985</v>
      </c>
      <c r="F24" s="19" t="s">
        <v>26</v>
      </c>
      <c r="G24" s="19" t="s">
        <v>26</v>
      </c>
    </row>
    <row r="25" ht="14" customHeight="1" spans="2:7" x14ac:dyDescent="0.25">
      <c r="B25" s="14" t="s">
        <v>22</v>
      </c>
      <c r="C25" s="15" t="s">
        <v>23</v>
      </c>
      <c r="D25" s="15" t="s">
        <v>23</v>
      </c>
      <c r="E25" s="16" t="s">
        <v>23</v>
      </c>
      <c r="F25" s="20" t="s">
        <v>22</v>
      </c>
      <c r="G25" s="18" t="s">
        <v>22</v>
      </c>
    </row>
    <row r="26" ht="22" customHeight="1" spans="2:7" x14ac:dyDescent="0.25">
      <c r="B26" s="10" t="s">
        <v>7</v>
      </c>
      <c r="C26" s="11">
        <v>234560</v>
      </c>
      <c r="D26" s="11">
        <v>127250</v>
      </c>
      <c r="E26" s="12">
        <v>361810</v>
      </c>
      <c r="F26" s="19" t="s">
        <v>26</v>
      </c>
      <c r="G26" s="19" t="s">
        <v>26</v>
      </c>
    </row>
    <row r="27" ht="14" customHeight="1" spans="2:7" x14ac:dyDescent="0.25">
      <c r="B27" s="14" t="s">
        <v>22</v>
      </c>
      <c r="C27" s="15" t="s">
        <v>23</v>
      </c>
      <c r="D27" s="15" t="s">
        <v>23</v>
      </c>
      <c r="E27" s="16" t="s">
        <v>23</v>
      </c>
      <c r="F27" s="20" t="s">
        <v>22</v>
      </c>
      <c r="G27" s="18" t="s">
        <v>22</v>
      </c>
    </row>
    <row r="28" ht="22" customHeight="1" spans="2:7" x14ac:dyDescent="0.25">
      <c r="B28" s="10" t="s">
        <v>8</v>
      </c>
      <c r="C28" s="21">
        <v>25</v>
      </c>
      <c r="D28" s="21">
        <v>21</v>
      </c>
      <c r="E28" s="22">
        <v>46</v>
      </c>
      <c r="F28" s="23">
        <v>65</v>
      </c>
      <c r="G28" s="23">
        <v>65</v>
      </c>
    </row>
    <row r="29" ht="14" customHeight="1" spans="2:7" x14ac:dyDescent="0.25">
      <c r="B29" s="14" t="s">
        <v>22</v>
      </c>
      <c r="C29" s="15" t="s">
        <v>23</v>
      </c>
      <c r="D29" s="15" t="s">
        <v>23</v>
      </c>
      <c r="E29" s="16" t="s">
        <v>23</v>
      </c>
      <c r="F29" s="17" t="s">
        <v>27</v>
      </c>
      <c r="G29" s="18" t="s">
        <v>22</v>
      </c>
    </row>
    <row r="30" ht="22" customHeight="1" spans="2:7" x14ac:dyDescent="0.25">
      <c r="B30" s="10" t="s">
        <v>28</v>
      </c>
      <c r="C30" s="21">
        <v>138</v>
      </c>
      <c r="D30" s="21">
        <v>106</v>
      </c>
      <c r="E30" s="22">
        <v>244</v>
      </c>
      <c r="F30" s="23">
        <v>246</v>
      </c>
      <c r="G30" s="23">
        <v>246</v>
      </c>
    </row>
    <row r="31" ht="14" customHeight="1" spans="2:7" x14ac:dyDescent="0.25">
      <c r="B31" s="14" t="s">
        <v>22</v>
      </c>
      <c r="C31" s="15" t="s">
        <v>23</v>
      </c>
      <c r="D31" s="15" t="s">
        <v>23</v>
      </c>
      <c r="E31" s="16" t="s">
        <v>23</v>
      </c>
      <c r="F31" s="17" t="s">
        <v>29</v>
      </c>
      <c r="G31" s="18" t="s">
        <v>22</v>
      </c>
    </row>
    <row r="32" ht="22" customHeight="1" spans="2:7" x14ac:dyDescent="0.25">
      <c r="B32" s="10" t="s">
        <v>30</v>
      </c>
      <c r="C32" s="21">
        <v>86</v>
      </c>
      <c r="D32" s="21">
        <v>69</v>
      </c>
      <c r="E32" s="22">
        <v>155</v>
      </c>
      <c r="F32" s="19" t="s">
        <v>26</v>
      </c>
      <c r="G32" s="19" t="s">
        <v>26</v>
      </c>
    </row>
    <row r="33" ht="14" customHeight="1" spans="2:7" x14ac:dyDescent="0.25">
      <c r="B33" s="14" t="s">
        <v>22</v>
      </c>
      <c r="C33" s="15" t="s">
        <v>23</v>
      </c>
      <c r="D33" s="15" t="s">
        <v>23</v>
      </c>
      <c r="E33" s="16" t="s">
        <v>23</v>
      </c>
      <c r="F33" s="20" t="s">
        <v>22</v>
      </c>
      <c r="G33" s="18" t="s">
        <v>22</v>
      </c>
    </row>
    <row r="34" ht="22" customHeight="1" spans="2:7" x14ac:dyDescent="0.25">
      <c r="B34" s="10" t="s">
        <v>31</v>
      </c>
      <c r="C34" s="21">
        <v>52</v>
      </c>
      <c r="D34" s="21">
        <v>37</v>
      </c>
      <c r="E34" s="22">
        <v>89</v>
      </c>
      <c r="F34" s="19" t="s">
        <v>26</v>
      </c>
      <c r="G34" s="19" t="s">
        <v>26</v>
      </c>
    </row>
    <row r="35" ht="14" customHeight="1" spans="2:7" x14ac:dyDescent="0.25">
      <c r="B35" s="14" t="s">
        <v>22</v>
      </c>
      <c r="C35" s="15" t="s">
        <v>23</v>
      </c>
      <c r="D35" s="15" t="s">
        <v>23</v>
      </c>
      <c r="E35" s="16" t="s">
        <v>23</v>
      </c>
      <c r="F35" s="20" t="s">
        <v>22</v>
      </c>
      <c r="G35" s="18" t="s">
        <v>22</v>
      </c>
    </row>
    <row r="36" ht="22" customHeight="1" spans="2:7" x14ac:dyDescent="0.25">
      <c r="B36" s="10" t="s">
        <v>32</v>
      </c>
      <c r="C36" s="21">
        <v>3</v>
      </c>
      <c r="D36" s="21">
        <v>3</v>
      </c>
      <c r="E36" s="22">
        <v>6</v>
      </c>
      <c r="F36" s="19" t="s">
        <v>26</v>
      </c>
      <c r="G36" s="19" t="s">
        <v>26</v>
      </c>
    </row>
    <row r="37" ht="14" customHeight="1" spans="2:7" x14ac:dyDescent="0.25">
      <c r="B37" s="14" t="s">
        <v>22</v>
      </c>
      <c r="C37" s="15" t="s">
        <v>23</v>
      </c>
      <c r="D37" s="15" t="s">
        <v>23</v>
      </c>
      <c r="E37" s="16" t="s">
        <v>23</v>
      </c>
      <c r="F37" s="20" t="s">
        <v>22</v>
      </c>
      <c r="G37" s="18" t="s">
        <v>22</v>
      </c>
    </row>
    <row r="38" ht="22" customHeight="1" spans="2:7" x14ac:dyDescent="0.25">
      <c r="B38" s="10" t="s">
        <v>9</v>
      </c>
      <c r="C38" s="11">
        <v>44475</v>
      </c>
      <c r="D38" s="11">
        <v>21625</v>
      </c>
      <c r="E38" s="12">
        <v>66100</v>
      </c>
      <c r="F38" s="13">
        <v>75075</v>
      </c>
      <c r="G38" s="13">
        <v>75075</v>
      </c>
    </row>
    <row r="39" ht="14" customHeight="1" spans="2:7" x14ac:dyDescent="0.25">
      <c r="B39" s="14" t="s">
        <v>22</v>
      </c>
      <c r="C39" s="17" t="s">
        <v>33</v>
      </c>
      <c r="D39" s="15" t="s">
        <v>23</v>
      </c>
      <c r="E39" s="24" t="s">
        <v>33</v>
      </c>
      <c r="F39" s="25" t="s">
        <v>34</v>
      </c>
      <c r="G39" s="18" t="s">
        <v>22</v>
      </c>
    </row>
    <row r="40" ht="22" customHeight="1" spans="2:7" x14ac:dyDescent="0.25">
      <c r="B40" s="10" t="s">
        <v>35</v>
      </c>
      <c r="C40" s="26">
        <v>0.8476700974431867</v>
      </c>
      <c r="D40" s="26">
        <v>0.854200377562028</v>
      </c>
      <c r="E40" s="27">
        <v>0.8498699705872332</v>
      </c>
      <c r="F40" s="28">
        <v>0.797919302306802</v>
      </c>
      <c r="G40" s="28">
        <v>0.6867305061559508</v>
      </c>
    </row>
    <row r="41" ht="14" customHeight="1" spans="2:7" x14ac:dyDescent="0.25">
      <c r="B41" s="14" t="s">
        <v>22</v>
      </c>
      <c r="C41" s="17" t="s">
        <v>36</v>
      </c>
      <c r="D41" s="25" t="s">
        <v>37</v>
      </c>
      <c r="E41" s="24" t="s">
        <v>38</v>
      </c>
      <c r="F41" s="25" t="s">
        <v>39</v>
      </c>
      <c r="G41" s="18" t="s">
        <v>22</v>
      </c>
    </row>
    <row r="42" ht="22" customHeight="1" spans="2:7" x14ac:dyDescent="0.25">
      <c r="B42" s="10" t="s">
        <v>40</v>
      </c>
      <c r="C42" s="21">
        <v>33</v>
      </c>
      <c r="D42" s="21">
        <v>26</v>
      </c>
      <c r="E42" s="22">
        <v>59</v>
      </c>
      <c r="F42" s="19" t="s">
        <v>26</v>
      </c>
      <c r="G42" s="19" t="s">
        <v>26</v>
      </c>
    </row>
    <row r="43" ht="14" customHeight="1" spans="2:7" x14ac:dyDescent="0.25">
      <c r="B43" s="14" t="s">
        <v>22</v>
      </c>
      <c r="C43" s="15" t="s">
        <v>23</v>
      </c>
      <c r="D43" s="17" t="s">
        <v>41</v>
      </c>
      <c r="E43" s="24" t="s">
        <v>41</v>
      </c>
      <c r="F43" s="20" t="s">
        <v>22</v>
      </c>
      <c r="G43" s="18" t="s">
        <v>22</v>
      </c>
    </row>
    <row r="44" ht="22" customHeight="1" spans="2:7" x14ac:dyDescent="0.25">
      <c r="B44" s="10" t="s">
        <v>42</v>
      </c>
      <c r="C44" s="21">
        <v>51</v>
      </c>
      <c r="D44" s="21">
        <v>60</v>
      </c>
      <c r="E44" s="22">
        <v>111</v>
      </c>
      <c r="F44" s="19" t="s">
        <v>26</v>
      </c>
      <c r="G44" s="19" t="s">
        <v>26</v>
      </c>
    </row>
    <row r="45" ht="14" customHeight="1" spans="2:7" x14ac:dyDescent="0.25">
      <c r="B45" s="14" t="s">
        <v>22</v>
      </c>
      <c r="C45" s="15" t="s">
        <v>23</v>
      </c>
      <c r="D45" s="15" t="s">
        <v>23</v>
      </c>
      <c r="E45" s="16" t="s">
        <v>23</v>
      </c>
      <c r="F45" s="20" t="s">
        <v>22</v>
      </c>
      <c r="G45" s="18" t="s">
        <v>22</v>
      </c>
    </row>
  </sheetData>
  <mergeCells count="28">
    <mergeCell ref="B2:H2"/>
    <mergeCell ref="B3:H3"/>
    <mergeCell ref="B6:C6"/>
    <mergeCell ref="D6:E6"/>
    <mergeCell ref="F6:G6"/>
    <mergeCell ref="H6:I6"/>
    <mergeCell ref="B7:C8"/>
    <mergeCell ref="D7:E8"/>
    <mergeCell ref="F7:G8"/>
    <mergeCell ref="H7:I8"/>
    <mergeCell ref="B9:C9"/>
    <mergeCell ref="D9:E9"/>
    <mergeCell ref="F9:G9"/>
    <mergeCell ref="H9:I9"/>
    <mergeCell ref="B10:C11"/>
    <mergeCell ref="D10:E11"/>
    <mergeCell ref="F10:G11"/>
    <mergeCell ref="H10:I11"/>
    <mergeCell ref="B12:C12"/>
    <mergeCell ref="D12:E12"/>
    <mergeCell ref="F12:G12"/>
    <mergeCell ref="H12:I12"/>
    <mergeCell ref="B13:C14"/>
    <mergeCell ref="D13:E14"/>
    <mergeCell ref="F13:G14"/>
    <mergeCell ref="H13:I14"/>
    <mergeCell ref="B17:E17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4"/>
  <sheetFormatPr defaultRowHeight="15" outlineLevelRow="0" outlineLevelCol="0" x14ac:dyDescent="55"/>
  <cols>
    <col min="1" max="1" width="3" customWidth="1"/>
    <col min="2" max="2" width="38" customWidth="1"/>
    <col min="3" max="3" width="18" customWidth="1"/>
    <col min="5" max="16" width="13" customWidth="1"/>
    <col min="17" max="17" width="12" customWidth="1"/>
  </cols>
  <sheetData>
    <row r="2" ht="30" customHeight="1" spans="2:14" x14ac:dyDescent="0.25">
      <c r="B2" s="29" t="s">
        <v>43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2:14" x14ac:dyDescent="0.25">
      <c r="B3" s="8" t="s">
        <v>44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ht="30" customHeight="1" spans="2:17" x14ac:dyDescent="0.25">
      <c r="B5" s="30" t="s">
        <v>45</v>
      </c>
      <c r="C5" s="30" t="s">
        <v>46</v>
      </c>
      <c r="D5" s="31" t="s">
        <v>47</v>
      </c>
      <c r="E5" s="31" t="s">
        <v>48</v>
      </c>
      <c r="F5" s="31" t="s">
        <v>49</v>
      </c>
      <c r="G5" s="31" t="s">
        <v>50</v>
      </c>
      <c r="H5" s="31" t="s">
        <v>51</v>
      </c>
      <c r="I5" s="31" t="s">
        <v>52</v>
      </c>
      <c r="J5" s="31" t="s">
        <v>35</v>
      </c>
      <c r="K5" s="31" t="s">
        <v>53</v>
      </c>
      <c r="L5" s="31" t="s">
        <v>54</v>
      </c>
      <c r="M5" s="31" t="s">
        <v>55</v>
      </c>
      <c r="N5" s="31" t="s">
        <v>56</v>
      </c>
      <c r="O5" s="31" t="s">
        <v>57</v>
      </c>
      <c r="P5" s="31" t="s">
        <v>58</v>
      </c>
      <c r="Q5" s="31" t="s">
        <v>59</v>
      </c>
    </row>
    <row r="6" spans="2:17" x14ac:dyDescent="0.25">
      <c r="B6" s="32" t="s">
        <v>60</v>
      </c>
      <c r="C6" s="33" t="s">
        <v>17</v>
      </c>
      <c r="D6" s="34">
        <v>8</v>
      </c>
      <c r="E6" s="35">
        <v>37200</v>
      </c>
      <c r="F6" s="35">
        <v>23050</v>
      </c>
      <c r="G6" s="35">
        <v>60250</v>
      </c>
      <c r="H6" s="35">
        <v>37200</v>
      </c>
      <c r="I6" s="35">
        <v>0</v>
      </c>
      <c r="J6" s="36">
        <v>1</v>
      </c>
      <c r="K6" s="35">
        <v>421.03</v>
      </c>
      <c r="L6" s="35">
        <v>305.97</v>
      </c>
      <c r="M6" s="35">
        <v>36473</v>
      </c>
      <c r="N6" s="36">
        <v>0.9804569892473118</v>
      </c>
      <c r="O6" s="37" t="s">
        <v>61</v>
      </c>
      <c r="P6" s="37" t="s">
        <v>62</v>
      </c>
      <c r="Q6" s="38">
        <v>27</v>
      </c>
    </row>
    <row r="7" spans="2:17" x14ac:dyDescent="0.25">
      <c r="B7" s="32" t="s">
        <v>63</v>
      </c>
      <c r="C7" s="33" t="s">
        <v>17</v>
      </c>
      <c r="D7" s="34">
        <v>7</v>
      </c>
      <c r="E7" s="35">
        <v>31500</v>
      </c>
      <c r="F7" s="35">
        <v>26505</v>
      </c>
      <c r="G7" s="35">
        <v>58005</v>
      </c>
      <c r="H7" s="35">
        <v>21900</v>
      </c>
      <c r="I7" s="35">
        <v>9600</v>
      </c>
      <c r="J7" s="36">
        <v>0.6952380952380952</v>
      </c>
      <c r="K7" s="35">
        <v>313.85</v>
      </c>
      <c r="L7" s="35">
        <v>148.89</v>
      </c>
      <c r="M7" s="35">
        <v>31037.26</v>
      </c>
      <c r="N7" s="36">
        <v>0.9853098412698412</v>
      </c>
      <c r="O7" s="37" t="s">
        <v>64</v>
      </c>
      <c r="P7" s="37" t="s">
        <v>65</v>
      </c>
      <c r="Q7" s="39">
        <v>33</v>
      </c>
    </row>
    <row r="8" spans="2:17" x14ac:dyDescent="0.25">
      <c r="B8" s="32" t="s">
        <v>66</v>
      </c>
      <c r="C8" s="33" t="s">
        <v>17</v>
      </c>
      <c r="D8" s="34">
        <v>8</v>
      </c>
      <c r="E8" s="35">
        <v>31050</v>
      </c>
      <c r="F8" s="35">
        <v>27675</v>
      </c>
      <c r="G8" s="35">
        <v>58725</v>
      </c>
      <c r="H8" s="35">
        <v>25050</v>
      </c>
      <c r="I8" s="35">
        <v>6000</v>
      </c>
      <c r="J8" s="36">
        <v>0.8067632850241546</v>
      </c>
      <c r="K8" s="35">
        <v>353.86</v>
      </c>
      <c r="L8" s="35">
        <v>363.36</v>
      </c>
      <c r="M8" s="35">
        <v>30332.78</v>
      </c>
      <c r="N8" s="36">
        <v>0.9769011272141707</v>
      </c>
      <c r="O8" s="37" t="s">
        <v>67</v>
      </c>
      <c r="P8" s="37" t="s">
        <v>68</v>
      </c>
      <c r="Q8" s="38">
        <v>-1</v>
      </c>
    </row>
    <row r="9" spans="2:17" x14ac:dyDescent="0.25">
      <c r="B9" s="32" t="s">
        <v>69</v>
      </c>
      <c r="C9" s="33" t="s">
        <v>17</v>
      </c>
      <c r="D9" s="34">
        <v>18</v>
      </c>
      <c r="E9" s="35">
        <v>25900</v>
      </c>
      <c r="F9" s="35">
        <v>22600</v>
      </c>
      <c r="G9" s="35">
        <v>48500</v>
      </c>
      <c r="H9" s="35">
        <v>19021.76</v>
      </c>
      <c r="I9" s="35">
        <v>6950</v>
      </c>
      <c r="J9" s="36">
        <v>0.734430888030888</v>
      </c>
      <c r="K9" s="35">
        <v>299.64</v>
      </c>
      <c r="L9" s="35">
        <v>473.41</v>
      </c>
      <c r="M9" s="35">
        <v>25126.95</v>
      </c>
      <c r="N9" s="36">
        <v>0.9701525096525097</v>
      </c>
      <c r="O9" s="37" t="s">
        <v>70</v>
      </c>
      <c r="P9" s="37" t="s">
        <v>71</v>
      </c>
      <c r="Q9" s="39">
        <v>34</v>
      </c>
    </row>
    <row r="10" spans="2:17" x14ac:dyDescent="0.25">
      <c r="B10" s="32" t="s">
        <v>72</v>
      </c>
      <c r="C10" s="33" t="s">
        <v>17</v>
      </c>
      <c r="D10" s="34">
        <v>16</v>
      </c>
      <c r="E10" s="35">
        <v>21000</v>
      </c>
      <c r="F10" s="35">
        <v>13990</v>
      </c>
      <c r="G10" s="35">
        <v>34990</v>
      </c>
      <c r="H10" s="35">
        <v>19200</v>
      </c>
      <c r="I10" s="35">
        <v>1800</v>
      </c>
      <c r="J10" s="36">
        <v>0.9142857142857143</v>
      </c>
      <c r="K10" s="35">
        <v>212.6</v>
      </c>
      <c r="L10" s="35">
        <v>226.02</v>
      </c>
      <c r="M10" s="35">
        <v>20561.38</v>
      </c>
      <c r="N10" s="36">
        <v>0.9791133333333334</v>
      </c>
      <c r="O10" s="37" t="s">
        <v>73</v>
      </c>
      <c r="P10" s="37" t="s">
        <v>74</v>
      </c>
      <c r="Q10" s="38">
        <v>20</v>
      </c>
    </row>
    <row r="11" spans="2:17" x14ac:dyDescent="0.25">
      <c r="B11" s="32" t="s">
        <v>75</v>
      </c>
      <c r="C11" s="33" t="s">
        <v>17</v>
      </c>
      <c r="D11" s="34">
        <v>9</v>
      </c>
      <c r="E11" s="35">
        <v>19200</v>
      </c>
      <c r="F11" s="35">
        <v>26175</v>
      </c>
      <c r="G11" s="35">
        <v>45375</v>
      </c>
      <c r="H11" s="35">
        <v>9600</v>
      </c>
      <c r="I11" s="35">
        <v>9600</v>
      </c>
      <c r="J11" s="36">
        <v>0.5</v>
      </c>
      <c r="K11" s="35">
        <v>249.15</v>
      </c>
      <c r="L11" s="35">
        <v>206.01</v>
      </c>
      <c r="M11" s="35">
        <v>18744.84</v>
      </c>
      <c r="N11" s="36">
        <v>0.97629375</v>
      </c>
      <c r="O11" s="37" t="s">
        <v>67</v>
      </c>
      <c r="P11" s="37" t="s">
        <v>68</v>
      </c>
      <c r="Q11" s="38">
        <v>-1</v>
      </c>
    </row>
    <row r="12" spans="2:17" x14ac:dyDescent="0.25">
      <c r="B12" s="32" t="s">
        <v>76</v>
      </c>
      <c r="C12" s="33" t="s">
        <v>18</v>
      </c>
      <c r="D12" s="34">
        <v>1</v>
      </c>
      <c r="E12" s="35">
        <v>18000</v>
      </c>
      <c r="F12" s="35">
        <v>6750</v>
      </c>
      <c r="G12" s="35">
        <v>24750</v>
      </c>
      <c r="H12" s="35">
        <v>18538.2</v>
      </c>
      <c r="I12" s="35">
        <v>0</v>
      </c>
      <c r="J12" s="36">
        <v>1.0299</v>
      </c>
      <c r="K12" s="35">
        <v>117.45</v>
      </c>
      <c r="L12" s="35">
        <v>67.52</v>
      </c>
      <c r="M12" s="35">
        <v>17815.03</v>
      </c>
      <c r="N12" s="36">
        <v>0.9897238888888888</v>
      </c>
      <c r="O12" s="37" t="s">
        <v>77</v>
      </c>
      <c r="P12" s="37" t="s">
        <v>77</v>
      </c>
      <c r="Q12" s="38">
        <v>14</v>
      </c>
    </row>
    <row r="13" spans="2:17" x14ac:dyDescent="0.25">
      <c r="B13" s="32" t="s">
        <v>78</v>
      </c>
      <c r="C13" s="33" t="s">
        <v>17</v>
      </c>
      <c r="D13" s="34">
        <v>6</v>
      </c>
      <c r="E13" s="35">
        <v>12700</v>
      </c>
      <c r="F13" s="35">
        <v>7540</v>
      </c>
      <c r="G13" s="35">
        <v>20240</v>
      </c>
      <c r="H13" s="35">
        <v>12843.52</v>
      </c>
      <c r="I13" s="35">
        <v>0</v>
      </c>
      <c r="J13" s="36">
        <v>1.011300787401575</v>
      </c>
      <c r="K13" s="35">
        <v>129.45</v>
      </c>
      <c r="L13" s="35">
        <v>207.33</v>
      </c>
      <c r="M13" s="35">
        <v>12363.22</v>
      </c>
      <c r="N13" s="36">
        <v>0.9734818897637795</v>
      </c>
      <c r="O13" s="37" t="s">
        <v>79</v>
      </c>
      <c r="P13" s="37" t="s">
        <v>80</v>
      </c>
      <c r="Q13" s="39">
        <v>36</v>
      </c>
    </row>
    <row r="14" spans="2:17" x14ac:dyDescent="0.25">
      <c r="B14" s="32" t="s">
        <v>81</v>
      </c>
      <c r="C14" s="33" t="s">
        <v>18</v>
      </c>
      <c r="D14" s="34">
        <v>4</v>
      </c>
      <c r="E14" s="35">
        <v>12600</v>
      </c>
      <c r="F14" s="35">
        <v>3450</v>
      </c>
      <c r="G14" s="35">
        <v>16050</v>
      </c>
      <c r="H14" s="35">
        <v>9600</v>
      </c>
      <c r="I14" s="35">
        <v>3000</v>
      </c>
      <c r="J14" s="36">
        <v>0.7619047619047619</v>
      </c>
      <c r="K14" s="35">
        <v>113.9</v>
      </c>
      <c r="L14" s="35">
        <v>148.96</v>
      </c>
      <c r="M14" s="35">
        <v>12337.14</v>
      </c>
      <c r="N14" s="36">
        <v>0.9791380952380951</v>
      </c>
      <c r="O14" s="37" t="s">
        <v>61</v>
      </c>
      <c r="P14" s="37" t="s">
        <v>82</v>
      </c>
      <c r="Q14" s="38">
        <v>28</v>
      </c>
    </row>
    <row r="15" spans="2:17" x14ac:dyDescent="0.25">
      <c r="B15" s="32" t="s">
        <v>83</v>
      </c>
      <c r="C15" s="33" t="s">
        <v>18</v>
      </c>
      <c r="D15" s="34">
        <v>10</v>
      </c>
      <c r="E15" s="35">
        <v>11100</v>
      </c>
      <c r="F15" s="35">
        <v>12750</v>
      </c>
      <c r="G15" s="35">
        <v>23850</v>
      </c>
      <c r="H15" s="35">
        <v>11288.37</v>
      </c>
      <c r="I15" s="35">
        <v>0</v>
      </c>
      <c r="J15" s="36">
        <v>1.0169702702702703</v>
      </c>
      <c r="K15" s="35">
        <v>150.96</v>
      </c>
      <c r="L15" s="35">
        <v>515.85</v>
      </c>
      <c r="M15" s="35">
        <v>10433.19</v>
      </c>
      <c r="N15" s="36">
        <v>0.939927027027027</v>
      </c>
      <c r="O15" s="37" t="s">
        <v>70</v>
      </c>
      <c r="P15" s="37" t="s">
        <v>70</v>
      </c>
      <c r="Q15" s="38">
        <v>2</v>
      </c>
    </row>
    <row r="16" spans="2:17" x14ac:dyDescent="0.25">
      <c r="B16" s="32" t="s">
        <v>84</v>
      </c>
      <c r="C16" s="33" t="s">
        <v>18</v>
      </c>
      <c r="D16" s="34">
        <v>3</v>
      </c>
      <c r="E16" s="35">
        <v>10800</v>
      </c>
      <c r="F16" s="35">
        <v>5700</v>
      </c>
      <c r="G16" s="35">
        <v>16500</v>
      </c>
      <c r="H16" s="35">
        <v>10800</v>
      </c>
      <c r="I16" s="35">
        <v>0</v>
      </c>
      <c r="J16" s="36">
        <v>1</v>
      </c>
      <c r="K16" s="35">
        <v>76.93</v>
      </c>
      <c r="L16" s="35">
        <v>137.81</v>
      </c>
      <c r="M16" s="35">
        <v>10585.26</v>
      </c>
      <c r="N16" s="36">
        <v>0.9801166666666666</v>
      </c>
      <c r="O16" s="37" t="s">
        <v>77</v>
      </c>
      <c r="P16" s="37" t="s">
        <v>85</v>
      </c>
      <c r="Q16" s="38">
        <v>8</v>
      </c>
    </row>
    <row r="17" spans="2:17" x14ac:dyDescent="0.25">
      <c r="B17" s="32" t="s">
        <v>86</v>
      </c>
      <c r="C17" s="33" t="s">
        <v>18</v>
      </c>
      <c r="D17" s="34">
        <v>11</v>
      </c>
      <c r="E17" s="35">
        <v>10800</v>
      </c>
      <c r="F17" s="35">
        <v>7575</v>
      </c>
      <c r="G17" s="35">
        <v>18375</v>
      </c>
      <c r="H17" s="35">
        <v>10200</v>
      </c>
      <c r="I17" s="35">
        <v>600</v>
      </c>
      <c r="J17" s="36">
        <v>0.9444444444444444</v>
      </c>
      <c r="K17" s="35">
        <v>115.61</v>
      </c>
      <c r="L17" s="35">
        <v>215.95</v>
      </c>
      <c r="M17" s="35">
        <v>10468.44</v>
      </c>
      <c r="N17" s="36">
        <v>0.9693</v>
      </c>
      <c r="O17" s="37" t="s">
        <v>87</v>
      </c>
      <c r="P17" s="37" t="s">
        <v>82</v>
      </c>
      <c r="Q17" s="38">
        <v>28</v>
      </c>
    </row>
    <row r="18" spans="2:17" x14ac:dyDescent="0.25">
      <c r="B18" s="32" t="s">
        <v>88</v>
      </c>
      <c r="C18" s="33" t="s">
        <v>17</v>
      </c>
      <c r="D18" s="34">
        <v>8</v>
      </c>
      <c r="E18" s="35">
        <v>10800</v>
      </c>
      <c r="F18" s="35">
        <v>6675</v>
      </c>
      <c r="G18" s="35">
        <v>17475</v>
      </c>
      <c r="H18" s="35">
        <v>9689.7</v>
      </c>
      <c r="I18" s="35">
        <v>1182.06</v>
      </c>
      <c r="J18" s="36">
        <v>0.8971944444444445</v>
      </c>
      <c r="K18" s="35">
        <v>116.55</v>
      </c>
      <c r="L18" s="35">
        <v>443.93</v>
      </c>
      <c r="M18" s="35">
        <v>10239.52</v>
      </c>
      <c r="N18" s="36">
        <v>0.9481037037037038</v>
      </c>
      <c r="O18" s="37" t="s">
        <v>89</v>
      </c>
      <c r="P18" s="37" t="s">
        <v>90</v>
      </c>
      <c r="Q18" s="39">
        <v>41</v>
      </c>
    </row>
    <row r="19" spans="2:17" x14ac:dyDescent="0.25">
      <c r="B19" s="32" t="s">
        <v>91</v>
      </c>
      <c r="C19" s="33" t="s">
        <v>18</v>
      </c>
      <c r="D19" s="34">
        <v>4</v>
      </c>
      <c r="E19" s="35">
        <v>10200</v>
      </c>
      <c r="F19" s="35">
        <v>3815</v>
      </c>
      <c r="G19" s="35">
        <v>14015</v>
      </c>
      <c r="H19" s="35">
        <v>10200</v>
      </c>
      <c r="I19" s="35">
        <v>0</v>
      </c>
      <c r="J19" s="36">
        <v>1</v>
      </c>
      <c r="K19" s="35">
        <v>136.97</v>
      </c>
      <c r="L19" s="35">
        <v>150.92</v>
      </c>
      <c r="M19" s="35">
        <v>9912.11</v>
      </c>
      <c r="N19" s="36">
        <v>0.9717754901960785</v>
      </c>
      <c r="O19" s="37" t="s">
        <v>92</v>
      </c>
      <c r="P19" s="37" t="s">
        <v>93</v>
      </c>
      <c r="Q19" s="40">
        <v>69</v>
      </c>
    </row>
    <row r="20" spans="2:17" x14ac:dyDescent="0.25">
      <c r="B20" s="32" t="s">
        <v>94</v>
      </c>
      <c r="C20" s="33" t="s">
        <v>17</v>
      </c>
      <c r="D20" s="34">
        <v>3</v>
      </c>
      <c r="E20" s="35">
        <v>9800</v>
      </c>
      <c r="F20" s="35">
        <v>13090</v>
      </c>
      <c r="G20" s="35">
        <v>22890</v>
      </c>
      <c r="H20" s="35">
        <v>9800</v>
      </c>
      <c r="I20" s="35">
        <v>0</v>
      </c>
      <c r="J20" s="36">
        <v>1</v>
      </c>
      <c r="K20" s="35">
        <v>149.94</v>
      </c>
      <c r="L20" s="35">
        <v>140.32</v>
      </c>
      <c r="M20" s="35">
        <v>9509.74</v>
      </c>
      <c r="N20" s="36">
        <v>0.9703816326530612</v>
      </c>
      <c r="O20" s="37" t="s">
        <v>95</v>
      </c>
      <c r="P20" s="37" t="s">
        <v>96</v>
      </c>
      <c r="Q20" s="40">
        <v>106</v>
      </c>
    </row>
    <row r="21" spans="2:17" x14ac:dyDescent="0.25">
      <c r="B21" s="32" t="s">
        <v>97</v>
      </c>
      <c r="C21" s="33" t="s">
        <v>18</v>
      </c>
      <c r="D21" s="34">
        <v>4</v>
      </c>
      <c r="E21" s="35">
        <v>9600</v>
      </c>
      <c r="F21" s="35">
        <v>6900</v>
      </c>
      <c r="G21" s="35">
        <v>16500</v>
      </c>
      <c r="H21" s="35">
        <v>4800</v>
      </c>
      <c r="I21" s="35">
        <v>4800</v>
      </c>
      <c r="J21" s="36">
        <v>0.5</v>
      </c>
      <c r="K21" s="35">
        <v>114.18</v>
      </c>
      <c r="L21" s="35">
        <v>156.14</v>
      </c>
      <c r="M21" s="35">
        <v>9329.68</v>
      </c>
      <c r="N21" s="36">
        <v>0.9718416666666667</v>
      </c>
      <c r="O21" s="37" t="s">
        <v>98</v>
      </c>
      <c r="P21" s="37" t="s">
        <v>99</v>
      </c>
      <c r="Q21" s="39">
        <v>51</v>
      </c>
    </row>
    <row r="22" spans="2:17" x14ac:dyDescent="0.25">
      <c r="B22" s="32" t="s">
        <v>100</v>
      </c>
      <c r="C22" s="33" t="s">
        <v>17</v>
      </c>
      <c r="D22" s="34">
        <v>4</v>
      </c>
      <c r="E22" s="35">
        <v>9600</v>
      </c>
      <c r="F22" s="35">
        <v>5250</v>
      </c>
      <c r="G22" s="35">
        <v>14850</v>
      </c>
      <c r="H22" s="35">
        <v>9600</v>
      </c>
      <c r="I22" s="35">
        <v>0</v>
      </c>
      <c r="J22" s="36">
        <v>1</v>
      </c>
      <c r="K22" s="35">
        <v>97.89</v>
      </c>
      <c r="L22" s="35">
        <v>145.57</v>
      </c>
      <c r="M22" s="35">
        <v>9356.54</v>
      </c>
      <c r="N22" s="36">
        <v>0.9746395833333334</v>
      </c>
      <c r="O22" s="37" t="s">
        <v>101</v>
      </c>
      <c r="P22" s="37" t="s">
        <v>80</v>
      </c>
      <c r="Q22" s="39">
        <v>36</v>
      </c>
    </row>
    <row r="23" spans="2:17" x14ac:dyDescent="0.25">
      <c r="B23" s="32" t="s">
        <v>102</v>
      </c>
      <c r="C23" s="33" t="s">
        <v>17</v>
      </c>
      <c r="D23" s="34">
        <v>7</v>
      </c>
      <c r="E23" s="35">
        <v>7800</v>
      </c>
      <c r="F23" s="35">
        <v>5245</v>
      </c>
      <c r="G23" s="35">
        <v>13045</v>
      </c>
      <c r="H23" s="35">
        <v>6161.46</v>
      </c>
      <c r="I23" s="35">
        <v>1800</v>
      </c>
      <c r="J23" s="36">
        <v>0.7899307692307692</v>
      </c>
      <c r="K23" s="35">
        <v>85.24</v>
      </c>
      <c r="L23" s="35">
        <v>674.78</v>
      </c>
      <c r="M23" s="35">
        <v>7039.98</v>
      </c>
      <c r="N23" s="36">
        <v>0.9025615384615384</v>
      </c>
      <c r="O23" s="37" t="s">
        <v>103</v>
      </c>
      <c r="P23" s="37" t="s">
        <v>104</v>
      </c>
      <c r="Q23" s="40">
        <v>63</v>
      </c>
    </row>
    <row r="24" spans="2:17" x14ac:dyDescent="0.25">
      <c r="B24" s="32" t="s">
        <v>105</v>
      </c>
      <c r="C24" s="33" t="s">
        <v>17</v>
      </c>
      <c r="D24" s="34">
        <v>6</v>
      </c>
      <c r="E24" s="35">
        <v>7350</v>
      </c>
      <c r="F24" s="35">
        <v>2550</v>
      </c>
      <c r="G24" s="35">
        <v>9900</v>
      </c>
      <c r="H24" s="35">
        <v>7350</v>
      </c>
      <c r="I24" s="35">
        <v>0</v>
      </c>
      <c r="J24" s="36">
        <v>1</v>
      </c>
      <c r="K24" s="35">
        <v>80.75</v>
      </c>
      <c r="L24" s="35">
        <v>537.64</v>
      </c>
      <c r="M24" s="35">
        <v>6731.61</v>
      </c>
      <c r="N24" s="36">
        <v>0.915865306122449</v>
      </c>
      <c r="O24" s="37" t="s">
        <v>106</v>
      </c>
      <c r="P24" s="37" t="s">
        <v>80</v>
      </c>
      <c r="Q24" s="39">
        <v>36</v>
      </c>
    </row>
    <row r="25" spans="2:17" x14ac:dyDescent="0.25">
      <c r="B25" s="32" t="s">
        <v>107</v>
      </c>
      <c r="C25" s="33" t="s">
        <v>18</v>
      </c>
      <c r="D25" s="34">
        <v>6</v>
      </c>
      <c r="E25" s="35">
        <v>7025</v>
      </c>
      <c r="F25" s="35">
        <v>3150</v>
      </c>
      <c r="G25" s="35">
        <v>10175</v>
      </c>
      <c r="H25" s="35">
        <v>7235.05</v>
      </c>
      <c r="I25" s="35">
        <v>0</v>
      </c>
      <c r="J25" s="36">
        <v>1.0299003558718862</v>
      </c>
      <c r="K25" s="35">
        <v>29.44</v>
      </c>
      <c r="L25" s="35">
        <v>233.64</v>
      </c>
      <c r="M25" s="35">
        <v>6761.92</v>
      </c>
      <c r="N25" s="36">
        <v>0.9625508896797154</v>
      </c>
      <c r="O25" s="37" t="s">
        <v>67</v>
      </c>
      <c r="P25" s="37" t="s">
        <v>67</v>
      </c>
      <c r="Q25" s="38">
        <v>0</v>
      </c>
    </row>
    <row r="26" spans="2:17" x14ac:dyDescent="0.25">
      <c r="B26" s="32" t="s">
        <v>108</v>
      </c>
      <c r="C26" s="33" t="s">
        <v>17</v>
      </c>
      <c r="D26" s="34">
        <v>4</v>
      </c>
      <c r="E26" s="35">
        <v>6655</v>
      </c>
      <c r="F26" s="35">
        <v>6605</v>
      </c>
      <c r="G26" s="35">
        <v>13260</v>
      </c>
      <c r="H26" s="35">
        <v>6655</v>
      </c>
      <c r="I26" s="35">
        <v>0</v>
      </c>
      <c r="J26" s="36">
        <v>1</v>
      </c>
      <c r="K26" s="35">
        <v>79.47</v>
      </c>
      <c r="L26" s="35">
        <v>105.56</v>
      </c>
      <c r="M26" s="35">
        <v>6469.97</v>
      </c>
      <c r="N26" s="36">
        <v>0.9721968444778363</v>
      </c>
      <c r="O26" s="37" t="s">
        <v>109</v>
      </c>
      <c r="P26" s="37" t="s">
        <v>109</v>
      </c>
      <c r="Q26" s="38">
        <v>29</v>
      </c>
    </row>
    <row r="27" spans="2:17" x14ac:dyDescent="0.25">
      <c r="B27" s="32" t="s">
        <v>110</v>
      </c>
      <c r="C27" s="33" t="s">
        <v>17</v>
      </c>
      <c r="D27" s="34">
        <v>2</v>
      </c>
      <c r="E27" s="35">
        <v>6600</v>
      </c>
      <c r="F27" s="35">
        <v>6600</v>
      </c>
      <c r="G27" s="35">
        <v>13200</v>
      </c>
      <c r="H27" s="35">
        <v>0</v>
      </c>
      <c r="I27" s="35">
        <v>6600</v>
      </c>
      <c r="J27" s="36">
        <v>0</v>
      </c>
      <c r="K27" s="35">
        <v>62.64</v>
      </c>
      <c r="L27" s="35">
        <v>0</v>
      </c>
      <c r="M27" s="35">
        <v>6537.36</v>
      </c>
      <c r="N27" s="36">
        <v>0.9905090909090909</v>
      </c>
      <c r="O27" s="37" t="s">
        <v>103</v>
      </c>
      <c r="P27" s="37" t="s">
        <v>26</v>
      </c>
      <c r="Q27" s="38" t="s">
        <v>26</v>
      </c>
    </row>
    <row r="28" spans="2:17" x14ac:dyDescent="0.25">
      <c r="B28" s="32" t="s">
        <v>111</v>
      </c>
      <c r="C28" s="33" t="s">
        <v>18</v>
      </c>
      <c r="D28" s="34">
        <v>7</v>
      </c>
      <c r="E28" s="35">
        <v>6600</v>
      </c>
      <c r="F28" s="35">
        <v>8170</v>
      </c>
      <c r="G28" s="35">
        <v>14770</v>
      </c>
      <c r="H28" s="35">
        <v>6761.46</v>
      </c>
      <c r="I28" s="35">
        <v>0</v>
      </c>
      <c r="J28" s="36">
        <v>1.0244636363636364</v>
      </c>
      <c r="K28" s="35">
        <v>114.94</v>
      </c>
      <c r="L28" s="35">
        <v>239.62</v>
      </c>
      <c r="M28" s="35">
        <v>6245.44</v>
      </c>
      <c r="N28" s="36">
        <v>0.9462787878787878</v>
      </c>
      <c r="O28" s="37" t="s">
        <v>112</v>
      </c>
      <c r="P28" s="37" t="s">
        <v>113</v>
      </c>
      <c r="Q28" s="40">
        <v>78</v>
      </c>
    </row>
    <row r="29" spans="2:17" x14ac:dyDescent="0.25">
      <c r="B29" s="32" t="s">
        <v>114</v>
      </c>
      <c r="C29" s="33" t="s">
        <v>17</v>
      </c>
      <c r="D29" s="34">
        <v>3</v>
      </c>
      <c r="E29" s="35">
        <v>6075</v>
      </c>
      <c r="F29" s="35">
        <v>3825</v>
      </c>
      <c r="G29" s="35">
        <v>9900</v>
      </c>
      <c r="H29" s="35">
        <v>4943.52</v>
      </c>
      <c r="I29" s="35">
        <v>1275</v>
      </c>
      <c r="J29" s="36">
        <v>0.8137481481481482</v>
      </c>
      <c r="K29" s="35">
        <v>55.2</v>
      </c>
      <c r="L29" s="35">
        <v>219.79</v>
      </c>
      <c r="M29" s="35">
        <v>5800.01</v>
      </c>
      <c r="N29" s="36">
        <v>0.9547341563786008</v>
      </c>
      <c r="O29" s="37" t="s">
        <v>115</v>
      </c>
      <c r="P29" s="37" t="s">
        <v>116</v>
      </c>
      <c r="Q29" s="39">
        <v>56</v>
      </c>
    </row>
    <row r="30" spans="2:17" x14ac:dyDescent="0.25">
      <c r="B30" s="32" t="s">
        <v>117</v>
      </c>
      <c r="C30" s="33" t="s">
        <v>17</v>
      </c>
      <c r="D30" s="34">
        <v>5</v>
      </c>
      <c r="E30" s="35">
        <v>6075</v>
      </c>
      <c r="F30" s="35">
        <v>4650</v>
      </c>
      <c r="G30" s="35">
        <v>10725</v>
      </c>
      <c r="H30" s="35">
        <v>5513.12</v>
      </c>
      <c r="I30" s="35">
        <v>600</v>
      </c>
      <c r="J30" s="36">
        <v>0.9075094650205762</v>
      </c>
      <c r="K30" s="35">
        <v>56.65</v>
      </c>
      <c r="L30" s="35">
        <v>246.64</v>
      </c>
      <c r="M30" s="35">
        <v>5771.71</v>
      </c>
      <c r="N30" s="36">
        <v>0.9500757201646091</v>
      </c>
      <c r="O30" s="37" t="s">
        <v>71</v>
      </c>
      <c r="P30" s="37" t="s">
        <v>98</v>
      </c>
      <c r="Q30" s="38">
        <v>15</v>
      </c>
    </row>
    <row r="31" spans="2:17" x14ac:dyDescent="0.25">
      <c r="B31" s="32" t="s">
        <v>118</v>
      </c>
      <c r="C31" s="33" t="s">
        <v>18</v>
      </c>
      <c r="D31" s="34">
        <v>4</v>
      </c>
      <c r="E31" s="35">
        <v>6000</v>
      </c>
      <c r="F31" s="35">
        <v>8400</v>
      </c>
      <c r="G31" s="35">
        <v>14400</v>
      </c>
      <c r="H31" s="35">
        <v>1200</v>
      </c>
      <c r="I31" s="35">
        <v>4800</v>
      </c>
      <c r="J31" s="36">
        <v>0.2</v>
      </c>
      <c r="K31" s="35">
        <v>90.74</v>
      </c>
      <c r="L31" s="35">
        <v>167.41</v>
      </c>
      <c r="M31" s="35">
        <v>5741.85</v>
      </c>
      <c r="N31" s="36">
        <v>0.956975</v>
      </c>
      <c r="O31" s="37" t="s">
        <v>90</v>
      </c>
      <c r="P31" s="37" t="s">
        <v>119</v>
      </c>
      <c r="Q31" s="40">
        <v>245</v>
      </c>
    </row>
    <row r="32" spans="2:17" x14ac:dyDescent="0.25">
      <c r="B32" s="32" t="s">
        <v>120</v>
      </c>
      <c r="C32" s="33" t="s">
        <v>17</v>
      </c>
      <c r="D32" s="34">
        <v>4</v>
      </c>
      <c r="E32" s="35">
        <v>5680</v>
      </c>
      <c r="F32" s="35">
        <v>2045</v>
      </c>
      <c r="G32" s="35">
        <v>7725</v>
      </c>
      <c r="H32" s="35">
        <v>4515.88</v>
      </c>
      <c r="I32" s="35">
        <v>1200</v>
      </c>
      <c r="J32" s="36">
        <v>0.7950492957746479</v>
      </c>
      <c r="K32" s="35">
        <v>41.45</v>
      </c>
      <c r="L32" s="35">
        <v>243.41</v>
      </c>
      <c r="M32" s="35">
        <v>5395.14</v>
      </c>
      <c r="N32" s="36">
        <v>0.9498485915492958</v>
      </c>
      <c r="O32" s="37" t="s">
        <v>71</v>
      </c>
      <c r="P32" s="37" t="s">
        <v>121</v>
      </c>
      <c r="Q32" s="40">
        <v>120</v>
      </c>
    </row>
    <row r="33" spans="2:17" x14ac:dyDescent="0.25">
      <c r="B33" s="32" t="s">
        <v>122</v>
      </c>
      <c r="C33" s="33" t="s">
        <v>17</v>
      </c>
      <c r="D33" s="34">
        <v>3</v>
      </c>
      <c r="E33" s="35">
        <v>5500</v>
      </c>
      <c r="F33" s="35">
        <v>5740</v>
      </c>
      <c r="G33" s="35">
        <v>11240</v>
      </c>
      <c r="H33" s="35">
        <v>5500</v>
      </c>
      <c r="I33" s="35">
        <v>0</v>
      </c>
      <c r="J33" s="36">
        <v>1</v>
      </c>
      <c r="K33" s="35">
        <v>52.05</v>
      </c>
      <c r="L33" s="35">
        <v>118.27</v>
      </c>
      <c r="M33" s="35">
        <v>5329.68</v>
      </c>
      <c r="N33" s="36">
        <v>0.9690327272727274</v>
      </c>
      <c r="O33" s="37" t="s">
        <v>99</v>
      </c>
      <c r="P33" s="37" t="s">
        <v>90</v>
      </c>
      <c r="Q33" s="39">
        <v>41</v>
      </c>
    </row>
    <row r="34" spans="2:17" x14ac:dyDescent="0.25">
      <c r="B34" s="32" t="s">
        <v>123</v>
      </c>
      <c r="C34" s="33" t="s">
        <v>17</v>
      </c>
      <c r="D34" s="34">
        <v>2</v>
      </c>
      <c r="E34" s="35">
        <v>5500</v>
      </c>
      <c r="F34" s="35">
        <v>9450</v>
      </c>
      <c r="G34" s="35">
        <v>14950</v>
      </c>
      <c r="H34" s="35">
        <v>5500</v>
      </c>
      <c r="I34" s="35">
        <v>0</v>
      </c>
      <c r="J34" s="36">
        <v>1</v>
      </c>
      <c r="K34" s="35">
        <v>86.75</v>
      </c>
      <c r="L34" s="35">
        <v>160.9</v>
      </c>
      <c r="M34" s="35">
        <v>5252.35</v>
      </c>
      <c r="N34" s="36">
        <v>0.9549727272727273</v>
      </c>
      <c r="O34" s="37" t="s">
        <v>124</v>
      </c>
      <c r="P34" s="37" t="s">
        <v>125</v>
      </c>
      <c r="Q34" s="40">
        <v>170</v>
      </c>
    </row>
    <row r="35" spans="2:17" x14ac:dyDescent="0.25">
      <c r="B35" s="32" t="s">
        <v>126</v>
      </c>
      <c r="C35" s="33" t="s">
        <v>17</v>
      </c>
      <c r="D35" s="34">
        <v>3</v>
      </c>
      <c r="E35" s="35">
        <v>5400</v>
      </c>
      <c r="F35" s="35">
        <v>7645</v>
      </c>
      <c r="G35" s="35">
        <v>13045</v>
      </c>
      <c r="H35" s="35">
        <v>600</v>
      </c>
      <c r="I35" s="35">
        <v>4800</v>
      </c>
      <c r="J35" s="36">
        <v>0.1111111111111111</v>
      </c>
      <c r="K35" s="35">
        <v>61.26</v>
      </c>
      <c r="L35" s="35">
        <v>62.88</v>
      </c>
      <c r="M35" s="35">
        <v>5275.86</v>
      </c>
      <c r="N35" s="36">
        <v>0.977011111111111</v>
      </c>
      <c r="O35" s="37" t="s">
        <v>103</v>
      </c>
      <c r="P35" s="37" t="s">
        <v>127</v>
      </c>
      <c r="Q35" s="40">
        <v>168</v>
      </c>
    </row>
    <row r="36" spans="2:17" x14ac:dyDescent="0.25">
      <c r="B36" s="32" t="s">
        <v>128</v>
      </c>
      <c r="C36" s="33" t="s">
        <v>18</v>
      </c>
      <c r="D36" s="34">
        <v>3</v>
      </c>
      <c r="E36" s="35">
        <v>5400</v>
      </c>
      <c r="F36" s="35">
        <v>3675</v>
      </c>
      <c r="G36" s="35">
        <v>9075</v>
      </c>
      <c r="H36" s="35">
        <v>5561.46</v>
      </c>
      <c r="I36" s="35">
        <v>0</v>
      </c>
      <c r="J36" s="36">
        <v>1.0299</v>
      </c>
      <c r="K36" s="35">
        <v>76.77</v>
      </c>
      <c r="L36" s="35">
        <v>259.24</v>
      </c>
      <c r="M36" s="35">
        <v>5063.99</v>
      </c>
      <c r="N36" s="36">
        <v>0.9377759259259258</v>
      </c>
      <c r="O36" s="37" t="s">
        <v>129</v>
      </c>
      <c r="P36" s="37" t="s">
        <v>93</v>
      </c>
      <c r="Q36" s="40">
        <v>69</v>
      </c>
    </row>
    <row r="37" spans="2:17" x14ac:dyDescent="0.25">
      <c r="B37" s="32" t="s">
        <v>130</v>
      </c>
      <c r="C37" s="33" t="s">
        <v>18</v>
      </c>
      <c r="D37" s="34">
        <v>4</v>
      </c>
      <c r="E37" s="35">
        <v>4800</v>
      </c>
      <c r="F37" s="35">
        <v>4275</v>
      </c>
      <c r="G37" s="35">
        <v>9075</v>
      </c>
      <c r="H37" s="35">
        <v>4800</v>
      </c>
      <c r="I37" s="35">
        <v>0</v>
      </c>
      <c r="J37" s="36">
        <v>1</v>
      </c>
      <c r="K37" s="35">
        <v>74.39</v>
      </c>
      <c r="L37" s="35">
        <v>79.73</v>
      </c>
      <c r="M37" s="35">
        <v>4645.88</v>
      </c>
      <c r="N37" s="36">
        <v>0.9678916666666667</v>
      </c>
      <c r="O37" s="37" t="s">
        <v>67</v>
      </c>
      <c r="P37" s="37" t="s">
        <v>131</v>
      </c>
      <c r="Q37" s="39">
        <v>44</v>
      </c>
    </row>
    <row r="38" spans="2:17" x14ac:dyDescent="0.25">
      <c r="B38" s="32" t="s">
        <v>132</v>
      </c>
      <c r="C38" s="33" t="s">
        <v>17</v>
      </c>
      <c r="D38" s="34">
        <v>2</v>
      </c>
      <c r="E38" s="35">
        <v>4800</v>
      </c>
      <c r="F38" s="35">
        <v>4275</v>
      </c>
      <c r="G38" s="35">
        <v>9075</v>
      </c>
      <c r="H38" s="35">
        <v>0</v>
      </c>
      <c r="I38" s="35">
        <v>4800</v>
      </c>
      <c r="J38" s="36">
        <v>0</v>
      </c>
      <c r="K38" s="35">
        <v>41.01</v>
      </c>
      <c r="L38" s="35">
        <v>74.79</v>
      </c>
      <c r="M38" s="35">
        <v>4684.2</v>
      </c>
      <c r="N38" s="36">
        <v>0.9758749999999999</v>
      </c>
      <c r="O38" s="37" t="s">
        <v>133</v>
      </c>
      <c r="P38" s="37" t="s">
        <v>26</v>
      </c>
      <c r="Q38" s="38" t="s">
        <v>26</v>
      </c>
    </row>
    <row r="39" spans="2:17" x14ac:dyDescent="0.25">
      <c r="B39" s="32" t="s">
        <v>134</v>
      </c>
      <c r="C39" s="33" t="s">
        <v>18</v>
      </c>
      <c r="D39" s="34">
        <v>2</v>
      </c>
      <c r="E39" s="35">
        <v>4800</v>
      </c>
      <c r="F39" s="35">
        <v>3450</v>
      </c>
      <c r="G39" s="35">
        <v>8250</v>
      </c>
      <c r="H39" s="35">
        <v>4943.52</v>
      </c>
      <c r="I39" s="35">
        <v>0</v>
      </c>
      <c r="J39" s="36">
        <v>1.0299</v>
      </c>
      <c r="K39" s="35">
        <v>39.15</v>
      </c>
      <c r="L39" s="35">
        <v>69.64</v>
      </c>
      <c r="M39" s="35">
        <v>4691.21</v>
      </c>
      <c r="N39" s="36">
        <v>0.9773354166666667</v>
      </c>
      <c r="O39" s="37" t="s">
        <v>135</v>
      </c>
      <c r="P39" s="37" t="s">
        <v>101</v>
      </c>
      <c r="Q39" s="39">
        <v>50</v>
      </c>
    </row>
    <row r="40" spans="2:17" x14ac:dyDescent="0.25">
      <c r="B40" s="32" t="s">
        <v>136</v>
      </c>
      <c r="C40" s="33" t="s">
        <v>17</v>
      </c>
      <c r="D40" s="34">
        <v>2</v>
      </c>
      <c r="E40" s="35">
        <v>4800</v>
      </c>
      <c r="F40" s="35">
        <v>3450</v>
      </c>
      <c r="G40" s="35">
        <v>8250</v>
      </c>
      <c r="H40" s="35">
        <v>4800</v>
      </c>
      <c r="I40" s="35">
        <v>0</v>
      </c>
      <c r="J40" s="36">
        <v>1</v>
      </c>
      <c r="K40" s="35">
        <v>39.15</v>
      </c>
      <c r="L40" s="35">
        <v>109.68</v>
      </c>
      <c r="M40" s="35">
        <v>4651.17</v>
      </c>
      <c r="N40" s="36">
        <v>0.96899375</v>
      </c>
      <c r="O40" s="37" t="s">
        <v>106</v>
      </c>
      <c r="P40" s="37" t="s">
        <v>137</v>
      </c>
      <c r="Q40" s="38">
        <v>21</v>
      </c>
    </row>
    <row r="41" spans="2:17" x14ac:dyDescent="0.25">
      <c r="B41" s="32" t="s">
        <v>138</v>
      </c>
      <c r="C41" s="33" t="s">
        <v>17</v>
      </c>
      <c r="D41" s="34">
        <v>2</v>
      </c>
      <c r="E41" s="35">
        <v>4800</v>
      </c>
      <c r="F41" s="35">
        <v>3450</v>
      </c>
      <c r="G41" s="35">
        <v>8250</v>
      </c>
      <c r="H41" s="35">
        <v>4800</v>
      </c>
      <c r="I41" s="35">
        <v>0</v>
      </c>
      <c r="J41" s="36">
        <v>1</v>
      </c>
      <c r="K41" s="35">
        <v>39.15</v>
      </c>
      <c r="L41" s="35">
        <v>110.33</v>
      </c>
      <c r="M41" s="35">
        <v>4650.52</v>
      </c>
      <c r="N41" s="36">
        <v>0.9688583333333334</v>
      </c>
      <c r="O41" s="37" t="s">
        <v>106</v>
      </c>
      <c r="P41" s="37" t="s">
        <v>74</v>
      </c>
      <c r="Q41" s="38">
        <v>20</v>
      </c>
    </row>
    <row r="42" spans="2:17" x14ac:dyDescent="0.25">
      <c r="B42" s="32" t="s">
        <v>139</v>
      </c>
      <c r="C42" s="33" t="s">
        <v>18</v>
      </c>
      <c r="D42" s="34">
        <v>2</v>
      </c>
      <c r="E42" s="35">
        <v>4800</v>
      </c>
      <c r="F42" s="35">
        <v>8810</v>
      </c>
      <c r="G42" s="35">
        <v>13610</v>
      </c>
      <c r="H42" s="35">
        <v>4800</v>
      </c>
      <c r="I42" s="35">
        <v>0</v>
      </c>
      <c r="J42" s="36">
        <v>1</v>
      </c>
      <c r="K42" s="35">
        <v>74.02</v>
      </c>
      <c r="L42" s="35">
        <v>170.95</v>
      </c>
      <c r="M42" s="35">
        <v>4555.03</v>
      </c>
      <c r="N42" s="36">
        <v>0.9489645833333333</v>
      </c>
      <c r="O42" s="37" t="s">
        <v>140</v>
      </c>
      <c r="P42" s="37" t="s">
        <v>141</v>
      </c>
      <c r="Q42" s="40">
        <v>182</v>
      </c>
    </row>
    <row r="43" spans="2:17" x14ac:dyDescent="0.25">
      <c r="B43" s="32" t="s">
        <v>142</v>
      </c>
      <c r="C43" s="33" t="s">
        <v>18</v>
      </c>
      <c r="D43" s="34">
        <v>4</v>
      </c>
      <c r="E43" s="35">
        <v>4200</v>
      </c>
      <c r="F43" s="35">
        <v>3225</v>
      </c>
      <c r="G43" s="35">
        <v>7425</v>
      </c>
      <c r="H43" s="35">
        <v>0</v>
      </c>
      <c r="I43" s="35">
        <v>4200</v>
      </c>
      <c r="J43" s="36">
        <v>0</v>
      </c>
      <c r="K43" s="35">
        <v>35.92</v>
      </c>
      <c r="L43" s="35">
        <v>142.16</v>
      </c>
      <c r="M43" s="35">
        <v>4021.92</v>
      </c>
      <c r="N43" s="36">
        <v>0.9576</v>
      </c>
      <c r="O43" s="37" t="s">
        <v>115</v>
      </c>
      <c r="P43" s="37" t="s">
        <v>26</v>
      </c>
      <c r="Q43" s="38" t="s">
        <v>26</v>
      </c>
    </row>
    <row r="44" spans="2:17" x14ac:dyDescent="0.25">
      <c r="B44" s="32" t="s">
        <v>143</v>
      </c>
      <c r="C44" s="33" t="s">
        <v>17</v>
      </c>
      <c r="D44" s="34">
        <v>4</v>
      </c>
      <c r="E44" s="35">
        <v>2500</v>
      </c>
      <c r="F44" s="35">
        <v>1625</v>
      </c>
      <c r="G44" s="35">
        <v>4125</v>
      </c>
      <c r="H44" s="35">
        <v>2500</v>
      </c>
      <c r="I44" s="35">
        <v>0</v>
      </c>
      <c r="J44" s="36">
        <v>1</v>
      </c>
      <c r="K44" s="35">
        <v>28.55</v>
      </c>
      <c r="L44" s="35">
        <v>94.97</v>
      </c>
      <c r="M44" s="35">
        <v>2376.48</v>
      </c>
      <c r="N44" s="36">
        <v>0.950592</v>
      </c>
      <c r="O44" s="37" t="s">
        <v>61</v>
      </c>
      <c r="P44" s="37" t="s">
        <v>65</v>
      </c>
      <c r="Q44" s="39">
        <v>33</v>
      </c>
    </row>
    <row r="45" spans="2:17" x14ac:dyDescent="0.25">
      <c r="B45" s="32" t="s">
        <v>144</v>
      </c>
      <c r="C45" s="33" t="s">
        <v>17</v>
      </c>
      <c r="D45" s="34">
        <v>2</v>
      </c>
      <c r="E45" s="35">
        <v>2400</v>
      </c>
      <c r="F45" s="35">
        <v>1570</v>
      </c>
      <c r="G45" s="35">
        <v>3970</v>
      </c>
      <c r="H45" s="35">
        <v>2400</v>
      </c>
      <c r="I45" s="35">
        <v>0</v>
      </c>
      <c r="J45" s="36">
        <v>1</v>
      </c>
      <c r="K45" s="35">
        <v>20.25</v>
      </c>
      <c r="L45" s="35">
        <v>128.52</v>
      </c>
      <c r="M45" s="35">
        <v>2251.23</v>
      </c>
      <c r="N45" s="36">
        <v>0.9380125</v>
      </c>
      <c r="O45" s="37" t="s">
        <v>145</v>
      </c>
      <c r="P45" s="37" t="s">
        <v>98</v>
      </c>
      <c r="Q45" s="38">
        <v>15</v>
      </c>
    </row>
    <row r="46" spans="2:17" x14ac:dyDescent="0.25">
      <c r="B46" s="32" t="s">
        <v>146</v>
      </c>
      <c r="C46" s="33" t="s">
        <v>18</v>
      </c>
      <c r="D46" s="34">
        <v>3</v>
      </c>
      <c r="E46" s="35">
        <v>2400</v>
      </c>
      <c r="F46" s="35">
        <v>1725</v>
      </c>
      <c r="G46" s="35">
        <v>4125</v>
      </c>
      <c r="H46" s="35">
        <v>2471.76</v>
      </c>
      <c r="I46" s="35">
        <v>0</v>
      </c>
      <c r="J46" s="36">
        <v>1.0299</v>
      </c>
      <c r="K46" s="35">
        <v>22.59</v>
      </c>
      <c r="L46" s="35">
        <v>0</v>
      </c>
      <c r="M46" s="35">
        <v>2377.41</v>
      </c>
      <c r="N46" s="36">
        <v>0.9905875</v>
      </c>
      <c r="O46" s="37" t="s">
        <v>79</v>
      </c>
      <c r="P46" s="37" t="s">
        <v>79</v>
      </c>
      <c r="Q46" s="39">
        <v>49</v>
      </c>
    </row>
    <row r="47" spans="2:17" x14ac:dyDescent="0.25">
      <c r="B47" s="32" t="s">
        <v>147</v>
      </c>
      <c r="C47" s="33" t="s">
        <v>18</v>
      </c>
      <c r="D47" s="34">
        <v>2</v>
      </c>
      <c r="E47" s="35">
        <v>2400</v>
      </c>
      <c r="F47" s="35">
        <v>1725</v>
      </c>
      <c r="G47" s="35">
        <v>4125</v>
      </c>
      <c r="H47" s="35">
        <v>2400</v>
      </c>
      <c r="I47" s="35">
        <v>0</v>
      </c>
      <c r="J47" s="36">
        <v>1</v>
      </c>
      <c r="K47" s="35">
        <v>41.77</v>
      </c>
      <c r="L47" s="35">
        <v>172.35</v>
      </c>
      <c r="M47" s="35">
        <v>2185.88</v>
      </c>
      <c r="N47" s="36">
        <v>0.9107833333333334</v>
      </c>
      <c r="O47" s="37" t="s">
        <v>96</v>
      </c>
      <c r="P47" s="37" t="s">
        <v>148</v>
      </c>
      <c r="Q47" s="40">
        <v>175</v>
      </c>
    </row>
    <row r="48" spans="2:17" x14ac:dyDescent="0.25">
      <c r="B48" s="32" t="s">
        <v>149</v>
      </c>
      <c r="C48" s="33" t="s">
        <v>18</v>
      </c>
      <c r="D48" s="34">
        <v>1</v>
      </c>
      <c r="E48" s="35">
        <v>2400</v>
      </c>
      <c r="F48" s="35">
        <v>900</v>
      </c>
      <c r="G48" s="35">
        <v>3300</v>
      </c>
      <c r="H48" s="35">
        <v>2400</v>
      </c>
      <c r="I48" s="35">
        <v>0</v>
      </c>
      <c r="J48" s="36">
        <v>1</v>
      </c>
      <c r="K48" s="35">
        <v>25.8</v>
      </c>
      <c r="L48" s="35">
        <v>89.56</v>
      </c>
      <c r="M48" s="35">
        <v>2284.64</v>
      </c>
      <c r="N48" s="36">
        <v>0.9519333333333333</v>
      </c>
      <c r="O48" s="37" t="s">
        <v>148</v>
      </c>
      <c r="P48" s="37" t="s">
        <v>131</v>
      </c>
      <c r="Q48" s="39">
        <v>44</v>
      </c>
    </row>
    <row r="49" spans="2:17" x14ac:dyDescent="0.25">
      <c r="B49" s="32" t="s">
        <v>150</v>
      </c>
      <c r="C49" s="33" t="s">
        <v>18</v>
      </c>
      <c r="D49" s="34">
        <v>1</v>
      </c>
      <c r="E49" s="35">
        <v>2400</v>
      </c>
      <c r="F49" s="35">
        <v>0</v>
      </c>
      <c r="G49" s="35">
        <v>2400</v>
      </c>
      <c r="H49" s="35">
        <v>2400</v>
      </c>
      <c r="I49" s="35">
        <v>0</v>
      </c>
      <c r="J49" s="36">
        <v>1</v>
      </c>
      <c r="K49" s="35">
        <v>35.32</v>
      </c>
      <c r="L49" s="35">
        <v>0</v>
      </c>
      <c r="M49" s="35">
        <v>2364.68</v>
      </c>
      <c r="N49" s="36">
        <v>0.9852833333333333</v>
      </c>
      <c r="O49" s="37" t="s">
        <v>151</v>
      </c>
      <c r="P49" s="37" t="s">
        <v>152</v>
      </c>
      <c r="Q49" s="40">
        <v>121</v>
      </c>
    </row>
    <row r="50" spans="2:17" x14ac:dyDescent="0.25">
      <c r="B50" s="32" t="s">
        <v>153</v>
      </c>
      <c r="C50" s="33" t="s">
        <v>17</v>
      </c>
      <c r="D50" s="34">
        <v>5</v>
      </c>
      <c r="E50" s="35">
        <v>1800</v>
      </c>
      <c r="F50" s="35">
        <v>2975</v>
      </c>
      <c r="G50" s="35">
        <v>4775</v>
      </c>
      <c r="H50" s="35">
        <v>1800</v>
      </c>
      <c r="I50" s="35">
        <v>0</v>
      </c>
      <c r="J50" s="36">
        <v>1</v>
      </c>
      <c r="K50" s="35">
        <v>40.21</v>
      </c>
      <c r="L50" s="35">
        <v>0</v>
      </c>
      <c r="M50" s="35">
        <v>1759.79</v>
      </c>
      <c r="N50" s="36">
        <v>0.9776611111111111</v>
      </c>
      <c r="O50" s="37" t="s">
        <v>154</v>
      </c>
      <c r="P50" s="37" t="s">
        <v>155</v>
      </c>
      <c r="Q50" s="40">
        <v>100</v>
      </c>
    </row>
    <row r="51" spans="2:17" x14ac:dyDescent="0.25">
      <c r="B51" s="32" t="s">
        <v>156</v>
      </c>
      <c r="C51" s="33" t="s">
        <v>18</v>
      </c>
      <c r="D51" s="34">
        <v>2</v>
      </c>
      <c r="E51" s="35">
        <v>1800</v>
      </c>
      <c r="F51" s="35">
        <v>675</v>
      </c>
      <c r="G51" s="35">
        <v>2475</v>
      </c>
      <c r="H51" s="35">
        <v>1853.82</v>
      </c>
      <c r="I51" s="35">
        <v>0</v>
      </c>
      <c r="J51" s="36">
        <v>1.0299</v>
      </c>
      <c r="K51" s="35">
        <v>52.05</v>
      </c>
      <c r="L51" s="35">
        <v>77.27</v>
      </c>
      <c r="M51" s="35">
        <v>1670.68</v>
      </c>
      <c r="N51" s="36">
        <v>0.9281555555555556</v>
      </c>
      <c r="O51" s="37" t="s">
        <v>140</v>
      </c>
      <c r="P51" s="37" t="s">
        <v>65</v>
      </c>
      <c r="Q51" s="39">
        <v>33</v>
      </c>
    </row>
    <row r="52" spans="2:17" x14ac:dyDescent="0.25">
      <c r="B52" s="32" t="s">
        <v>157</v>
      </c>
      <c r="C52" s="33" t="s">
        <v>18</v>
      </c>
      <c r="D52" s="34">
        <v>2</v>
      </c>
      <c r="E52" s="35">
        <v>1275</v>
      </c>
      <c r="F52" s="35">
        <v>375</v>
      </c>
      <c r="G52" s="35">
        <v>1650</v>
      </c>
      <c r="H52" s="35">
        <v>1275</v>
      </c>
      <c r="I52" s="35">
        <v>0</v>
      </c>
      <c r="J52" s="36">
        <v>1</v>
      </c>
      <c r="K52" s="35">
        <v>11.05</v>
      </c>
      <c r="L52" s="35">
        <v>162.05</v>
      </c>
      <c r="M52" s="35">
        <v>1101.9</v>
      </c>
      <c r="N52" s="36">
        <v>0.8642352941176471</v>
      </c>
      <c r="O52" s="37" t="s">
        <v>158</v>
      </c>
      <c r="P52" s="37" t="s">
        <v>159</v>
      </c>
      <c r="Q52" s="38">
        <v>16</v>
      </c>
    </row>
    <row r="53" spans="2:17" x14ac:dyDescent="0.25">
      <c r="B53" s="32" t="s">
        <v>160</v>
      </c>
      <c r="C53" s="33" t="s">
        <v>18</v>
      </c>
      <c r="D53" s="34">
        <v>3</v>
      </c>
      <c r="E53" s="35">
        <v>1225</v>
      </c>
      <c r="F53" s="35">
        <v>1875</v>
      </c>
      <c r="G53" s="35">
        <v>3100</v>
      </c>
      <c r="H53" s="35">
        <v>0</v>
      </c>
      <c r="I53" s="35">
        <v>1225</v>
      </c>
      <c r="J53" s="36">
        <v>0</v>
      </c>
      <c r="K53" s="35">
        <v>16.1</v>
      </c>
      <c r="L53" s="35">
        <v>195.95</v>
      </c>
      <c r="M53" s="35">
        <v>1012.95</v>
      </c>
      <c r="N53" s="36">
        <v>0.8268979591836735</v>
      </c>
      <c r="O53" s="37" t="s">
        <v>73</v>
      </c>
      <c r="P53" s="37" t="s">
        <v>26</v>
      </c>
      <c r="Q53" s="38" t="s">
        <v>26</v>
      </c>
    </row>
    <row r="54" spans="2:17" x14ac:dyDescent="0.25">
      <c r="B54" s="32" t="s">
        <v>161</v>
      </c>
      <c r="C54" s="33" t="s">
        <v>18</v>
      </c>
      <c r="D54" s="34">
        <v>5</v>
      </c>
      <c r="E54" s="35">
        <v>1200</v>
      </c>
      <c r="F54" s="35">
        <v>7050</v>
      </c>
      <c r="G54" s="35">
        <v>8250</v>
      </c>
      <c r="H54" s="35">
        <v>1217.94</v>
      </c>
      <c r="I54" s="35">
        <v>0</v>
      </c>
      <c r="J54" s="36">
        <v>1.01495</v>
      </c>
      <c r="K54" s="35">
        <v>42.85</v>
      </c>
      <c r="L54" s="35">
        <v>87.36</v>
      </c>
      <c r="M54" s="35">
        <v>1069.79</v>
      </c>
      <c r="N54" s="36">
        <v>0.8914916666666667</v>
      </c>
      <c r="O54" s="37" t="s">
        <v>73</v>
      </c>
      <c r="P54" s="37" t="s">
        <v>162</v>
      </c>
      <c r="Q54" s="39">
        <v>35</v>
      </c>
    </row>
    <row r="55" spans="2:17" x14ac:dyDescent="0.25">
      <c r="B55" s="32" t="s">
        <v>163</v>
      </c>
      <c r="C55" s="33" t="s">
        <v>17</v>
      </c>
      <c r="D55" s="34">
        <v>1</v>
      </c>
      <c r="E55" s="35">
        <v>1200</v>
      </c>
      <c r="F55" s="35">
        <v>450</v>
      </c>
      <c r="G55" s="35">
        <v>1650</v>
      </c>
      <c r="H55" s="35">
        <v>1200</v>
      </c>
      <c r="I55" s="35">
        <v>0</v>
      </c>
      <c r="J55" s="36">
        <v>1</v>
      </c>
      <c r="K55" s="35">
        <v>9.2</v>
      </c>
      <c r="L55" s="35">
        <v>71.96</v>
      </c>
      <c r="M55" s="35">
        <v>1118.84</v>
      </c>
      <c r="N55" s="36">
        <v>0.9323666666666666</v>
      </c>
      <c r="O55" s="37" t="s">
        <v>154</v>
      </c>
      <c r="P55" s="37" t="s">
        <v>99</v>
      </c>
      <c r="Q55" s="39">
        <v>51</v>
      </c>
    </row>
    <row r="56" spans="2:17" x14ac:dyDescent="0.25">
      <c r="B56" s="32" t="s">
        <v>164</v>
      </c>
      <c r="C56" s="33" t="s">
        <v>18</v>
      </c>
      <c r="D56" s="34">
        <v>1</v>
      </c>
      <c r="E56" s="35">
        <v>1200</v>
      </c>
      <c r="F56" s="35">
        <v>0</v>
      </c>
      <c r="G56" s="35">
        <v>1200</v>
      </c>
      <c r="H56" s="35">
        <v>1235.88</v>
      </c>
      <c r="I56" s="35">
        <v>0</v>
      </c>
      <c r="J56" s="36">
        <v>1.0299</v>
      </c>
      <c r="K56" s="35">
        <v>12.9</v>
      </c>
      <c r="L56" s="35">
        <v>84.11</v>
      </c>
      <c r="M56" s="35">
        <v>1102.99</v>
      </c>
      <c r="N56" s="36">
        <v>0.9191583333333333</v>
      </c>
      <c r="O56" s="37" t="s">
        <v>165</v>
      </c>
      <c r="P56" s="37" t="s">
        <v>166</v>
      </c>
      <c r="Q56" s="40">
        <v>119</v>
      </c>
    </row>
    <row r="57" spans="2:17" x14ac:dyDescent="0.25">
      <c r="B57" s="32" t="s">
        <v>167</v>
      </c>
      <c r="C57" s="33" t="s">
        <v>17</v>
      </c>
      <c r="D57" s="34">
        <v>2</v>
      </c>
      <c r="E57" s="35">
        <v>700</v>
      </c>
      <c r="F57" s="35">
        <v>1620</v>
      </c>
      <c r="G57" s="35">
        <v>2320</v>
      </c>
      <c r="H57" s="35">
        <v>700</v>
      </c>
      <c r="I57" s="35">
        <v>0</v>
      </c>
      <c r="J57" s="36">
        <v>1</v>
      </c>
      <c r="K57" s="35">
        <v>12.9</v>
      </c>
      <c r="L57" s="35">
        <v>78.54</v>
      </c>
      <c r="M57" s="35">
        <v>608.56</v>
      </c>
      <c r="N57" s="36">
        <v>0.8693714285714285</v>
      </c>
      <c r="O57" s="37" t="s">
        <v>148</v>
      </c>
      <c r="P57" s="37" t="s">
        <v>152</v>
      </c>
      <c r="Q57" s="40">
        <v>121</v>
      </c>
    </row>
    <row r="58" spans="2:17" x14ac:dyDescent="0.25">
      <c r="B58" s="32" t="s">
        <v>168</v>
      </c>
      <c r="C58" s="33" t="s">
        <v>17</v>
      </c>
      <c r="D58" s="34">
        <v>1</v>
      </c>
      <c r="E58" s="35">
        <v>675</v>
      </c>
      <c r="F58" s="35">
        <v>150</v>
      </c>
      <c r="G58" s="35">
        <v>825</v>
      </c>
      <c r="H58" s="35">
        <v>695.18</v>
      </c>
      <c r="I58" s="35">
        <v>0</v>
      </c>
      <c r="J58" s="36">
        <v>1.0298962962962963</v>
      </c>
      <c r="K58" s="35">
        <v>3.23</v>
      </c>
      <c r="L58" s="35">
        <v>72.99</v>
      </c>
      <c r="M58" s="35">
        <v>598.78</v>
      </c>
      <c r="N58" s="36">
        <v>0.8870814814814815</v>
      </c>
      <c r="O58" s="37" t="s">
        <v>82</v>
      </c>
      <c r="P58" s="37" t="s">
        <v>145</v>
      </c>
      <c r="Q58" s="38">
        <v>22</v>
      </c>
    </row>
    <row r="59" spans="2:17" x14ac:dyDescent="0.25">
      <c r="B59" s="32" t="s">
        <v>169</v>
      </c>
      <c r="C59" s="33" t="s">
        <v>18</v>
      </c>
      <c r="D59" s="34">
        <v>2</v>
      </c>
      <c r="E59" s="35">
        <v>600</v>
      </c>
      <c r="F59" s="35">
        <v>1050</v>
      </c>
      <c r="G59" s="35">
        <v>1650</v>
      </c>
      <c r="H59" s="35">
        <v>600</v>
      </c>
      <c r="I59" s="35">
        <v>0</v>
      </c>
      <c r="J59" s="36">
        <v>1</v>
      </c>
      <c r="K59" s="35">
        <v>11.05</v>
      </c>
      <c r="L59" s="35">
        <v>156.49</v>
      </c>
      <c r="M59" s="35">
        <v>432.46</v>
      </c>
      <c r="N59" s="36">
        <v>0.7207666666666667</v>
      </c>
      <c r="O59" s="37" t="s">
        <v>170</v>
      </c>
      <c r="P59" s="37" t="s">
        <v>171</v>
      </c>
      <c r="Q59" s="40">
        <v>135</v>
      </c>
    </row>
    <row r="60" spans="2:17" x14ac:dyDescent="0.25">
      <c r="B60" s="32" t="s">
        <v>172</v>
      </c>
      <c r="C60" s="33" t="s">
        <v>18</v>
      </c>
      <c r="D60" s="34">
        <v>1</v>
      </c>
      <c r="E60" s="35">
        <v>600</v>
      </c>
      <c r="F60" s="35">
        <v>225</v>
      </c>
      <c r="G60" s="35">
        <v>825</v>
      </c>
      <c r="H60" s="35">
        <v>0</v>
      </c>
      <c r="I60" s="35">
        <v>600</v>
      </c>
      <c r="J60" s="36">
        <v>0</v>
      </c>
      <c r="K60" s="35">
        <v>3.23</v>
      </c>
      <c r="L60" s="35">
        <v>0</v>
      </c>
      <c r="M60" s="35">
        <v>596.77</v>
      </c>
      <c r="N60" s="36">
        <v>0.9946166666666666</v>
      </c>
      <c r="O60" s="37" t="s">
        <v>131</v>
      </c>
      <c r="P60" s="37" t="s">
        <v>26</v>
      </c>
      <c r="Q60" s="38" t="s">
        <v>26</v>
      </c>
    </row>
    <row r="61" spans="2:17" x14ac:dyDescent="0.25">
      <c r="B61" s="32" t="s">
        <v>173</v>
      </c>
      <c r="C61" s="33" t="s">
        <v>17</v>
      </c>
      <c r="D61" s="34">
        <v>1</v>
      </c>
      <c r="E61" s="35">
        <v>600</v>
      </c>
      <c r="F61" s="35">
        <v>225</v>
      </c>
      <c r="G61" s="35">
        <v>825</v>
      </c>
      <c r="H61" s="35">
        <v>617.94</v>
      </c>
      <c r="I61" s="35">
        <v>0</v>
      </c>
      <c r="J61" s="36">
        <v>1.0299</v>
      </c>
      <c r="K61" s="35">
        <v>4.6</v>
      </c>
      <c r="L61" s="35">
        <v>69.01</v>
      </c>
      <c r="M61" s="35">
        <v>526.39</v>
      </c>
      <c r="N61" s="36">
        <v>0.8773166666666666</v>
      </c>
      <c r="O61" s="37" t="s">
        <v>116</v>
      </c>
      <c r="P61" s="37" t="s">
        <v>158</v>
      </c>
      <c r="Q61" s="39">
        <v>43</v>
      </c>
    </row>
    <row r="62" spans="2:17" x14ac:dyDescent="0.25">
      <c r="B62" s="32" t="s">
        <v>174</v>
      </c>
      <c r="C62" s="33" t="s">
        <v>17</v>
      </c>
      <c r="D62" s="34">
        <v>1</v>
      </c>
      <c r="E62" s="35">
        <v>600</v>
      </c>
      <c r="F62" s="35">
        <v>225</v>
      </c>
      <c r="G62" s="35">
        <v>825</v>
      </c>
      <c r="H62" s="35">
        <v>600</v>
      </c>
      <c r="I62" s="35">
        <v>0</v>
      </c>
      <c r="J62" s="36">
        <v>1</v>
      </c>
      <c r="K62" s="35">
        <v>4.6</v>
      </c>
      <c r="L62" s="35">
        <v>50.16</v>
      </c>
      <c r="M62" s="35">
        <v>545.24</v>
      </c>
      <c r="N62" s="36">
        <v>0.9087333333333334</v>
      </c>
      <c r="O62" s="37" t="s">
        <v>135</v>
      </c>
      <c r="P62" s="37" t="s">
        <v>109</v>
      </c>
      <c r="Q62" s="38">
        <v>29</v>
      </c>
    </row>
    <row r="63" spans="2:17" x14ac:dyDescent="0.25">
      <c r="B63" s="32" t="s">
        <v>175</v>
      </c>
      <c r="C63" s="33" t="s">
        <v>17</v>
      </c>
      <c r="D63" s="34">
        <v>1</v>
      </c>
      <c r="E63" s="35">
        <v>600</v>
      </c>
      <c r="F63" s="35">
        <v>225</v>
      </c>
      <c r="G63" s="35">
        <v>825</v>
      </c>
      <c r="H63" s="35">
        <v>600</v>
      </c>
      <c r="I63" s="35">
        <v>0</v>
      </c>
      <c r="J63" s="36">
        <v>1</v>
      </c>
      <c r="K63" s="35">
        <v>5.75</v>
      </c>
      <c r="L63" s="35">
        <v>0</v>
      </c>
      <c r="M63" s="35">
        <v>594.25</v>
      </c>
      <c r="N63" s="36">
        <v>0.9904166666666666</v>
      </c>
      <c r="O63" s="37" t="s">
        <v>176</v>
      </c>
      <c r="P63" s="37" t="s">
        <v>177</v>
      </c>
      <c r="Q63" s="40">
        <v>76</v>
      </c>
    </row>
    <row r="64" spans="2:17" x14ac:dyDescent="0.25">
      <c r="B64" s="32" t="s">
        <v>178</v>
      </c>
      <c r="C64" s="33" t="s">
        <v>18</v>
      </c>
      <c r="D64" s="34">
        <v>3</v>
      </c>
      <c r="E64" s="35">
        <v>600</v>
      </c>
      <c r="F64" s="35">
        <v>2700</v>
      </c>
      <c r="G64" s="35">
        <v>3300</v>
      </c>
      <c r="H64" s="35">
        <v>600</v>
      </c>
      <c r="I64" s="35">
        <v>0</v>
      </c>
      <c r="J64" s="36">
        <v>1</v>
      </c>
      <c r="K64" s="35">
        <v>25.8</v>
      </c>
      <c r="L64" s="35">
        <v>140.81</v>
      </c>
      <c r="M64" s="35">
        <v>433.39</v>
      </c>
      <c r="N64" s="36">
        <v>0.7223166666666666</v>
      </c>
      <c r="O64" s="37" t="s">
        <v>179</v>
      </c>
      <c r="P64" s="37" t="s">
        <v>152</v>
      </c>
      <c r="Q64" s="40">
        <v>121</v>
      </c>
    </row>
    <row r="65" spans="2:17" x14ac:dyDescent="0.25">
      <c r="B65" s="32" t="s">
        <v>180</v>
      </c>
      <c r="C65" s="33" t="s">
        <v>18</v>
      </c>
      <c r="D65" s="34">
        <v>2</v>
      </c>
      <c r="E65" s="35">
        <v>600</v>
      </c>
      <c r="F65" s="35">
        <v>1050</v>
      </c>
      <c r="G65" s="35">
        <v>1650</v>
      </c>
      <c r="H65" s="35">
        <v>600</v>
      </c>
      <c r="I65" s="35">
        <v>0</v>
      </c>
      <c r="J65" s="36">
        <v>1</v>
      </c>
      <c r="K65" s="35">
        <v>12.9</v>
      </c>
      <c r="L65" s="35">
        <v>73.93</v>
      </c>
      <c r="M65" s="35">
        <v>513.17</v>
      </c>
      <c r="N65" s="36">
        <v>0.8552833333333333</v>
      </c>
      <c r="O65" s="37" t="s">
        <v>181</v>
      </c>
      <c r="P65" s="37" t="s">
        <v>182</v>
      </c>
      <c r="Q65" s="40">
        <v>86</v>
      </c>
    </row>
    <row r="66" spans="2:17" x14ac:dyDescent="0.25">
      <c r="B66" s="32" t="s">
        <v>183</v>
      </c>
      <c r="C66" s="33" t="s">
        <v>18</v>
      </c>
      <c r="D66" s="34">
        <v>1</v>
      </c>
      <c r="E66" s="35">
        <v>600</v>
      </c>
      <c r="F66" s="35">
        <v>225</v>
      </c>
      <c r="G66" s="35">
        <v>825</v>
      </c>
      <c r="H66" s="35">
        <v>617.94</v>
      </c>
      <c r="I66" s="35">
        <v>0</v>
      </c>
      <c r="J66" s="36">
        <v>1.0299</v>
      </c>
      <c r="K66" s="35">
        <v>6.45</v>
      </c>
      <c r="L66" s="35">
        <v>89.39</v>
      </c>
      <c r="M66" s="35">
        <v>504.16</v>
      </c>
      <c r="N66" s="36">
        <v>0.8402666666666667</v>
      </c>
      <c r="O66" s="37" t="s">
        <v>184</v>
      </c>
      <c r="P66" s="37" t="s">
        <v>177</v>
      </c>
      <c r="Q66" s="40">
        <v>76</v>
      </c>
    </row>
    <row r="67" spans="2:17" x14ac:dyDescent="0.25">
      <c r="B67" s="32" t="s">
        <v>185</v>
      </c>
      <c r="C67" s="33" t="s">
        <v>18</v>
      </c>
      <c r="D67" s="34">
        <v>1</v>
      </c>
      <c r="E67" s="35">
        <v>600</v>
      </c>
      <c r="F67" s="35">
        <v>225</v>
      </c>
      <c r="G67" s="35">
        <v>825</v>
      </c>
      <c r="H67" s="35">
        <v>600</v>
      </c>
      <c r="I67" s="35">
        <v>0</v>
      </c>
      <c r="J67" s="36">
        <v>1</v>
      </c>
      <c r="K67" s="35">
        <v>6.45</v>
      </c>
      <c r="L67" s="35">
        <v>79.03</v>
      </c>
      <c r="M67" s="35">
        <v>514.52</v>
      </c>
      <c r="N67" s="36">
        <v>0.8575333333333333</v>
      </c>
      <c r="O67" s="37" t="s">
        <v>186</v>
      </c>
      <c r="P67" s="37" t="s">
        <v>152</v>
      </c>
      <c r="Q67" s="40">
        <v>121</v>
      </c>
    </row>
    <row r="68" spans="2:17" x14ac:dyDescent="0.25">
      <c r="B68" s="32" t="s">
        <v>187</v>
      </c>
      <c r="C68" s="33" t="s">
        <v>17</v>
      </c>
      <c r="D68" s="34">
        <v>1</v>
      </c>
      <c r="E68" s="35">
        <v>600</v>
      </c>
      <c r="F68" s="35">
        <v>225</v>
      </c>
      <c r="G68" s="35">
        <v>825</v>
      </c>
      <c r="H68" s="35">
        <v>600</v>
      </c>
      <c r="I68" s="35">
        <v>0</v>
      </c>
      <c r="J68" s="36">
        <v>1</v>
      </c>
      <c r="K68" s="35">
        <v>6.45</v>
      </c>
      <c r="L68" s="35">
        <v>89.6</v>
      </c>
      <c r="M68" s="35">
        <v>503.95</v>
      </c>
      <c r="N68" s="36">
        <v>0.8399166666666666</v>
      </c>
      <c r="O68" s="37" t="s">
        <v>188</v>
      </c>
      <c r="P68" s="37" t="s">
        <v>189</v>
      </c>
      <c r="Q68" s="40">
        <v>142</v>
      </c>
    </row>
    <row r="69" spans="2:17" x14ac:dyDescent="0.25">
      <c r="B69" s="32" t="s">
        <v>190</v>
      </c>
      <c r="C69" s="33" t="s">
        <v>17</v>
      </c>
      <c r="D69" s="34">
        <v>1</v>
      </c>
      <c r="E69" s="35">
        <v>600</v>
      </c>
      <c r="F69" s="35">
        <v>225</v>
      </c>
      <c r="G69" s="35">
        <v>825</v>
      </c>
      <c r="H69" s="35">
        <v>617.94</v>
      </c>
      <c r="I69" s="35">
        <v>0</v>
      </c>
      <c r="J69" s="36">
        <v>1.0299</v>
      </c>
      <c r="K69" s="35">
        <v>6.45</v>
      </c>
      <c r="L69" s="35">
        <v>92.07</v>
      </c>
      <c r="M69" s="35">
        <v>501.48</v>
      </c>
      <c r="N69" s="36">
        <v>0.8358</v>
      </c>
      <c r="O69" s="37" t="s">
        <v>191</v>
      </c>
      <c r="P69" s="37" t="s">
        <v>192</v>
      </c>
      <c r="Q69" s="40">
        <v>147</v>
      </c>
    </row>
    <row r="70" spans="2:17" x14ac:dyDescent="0.25">
      <c r="B70" s="32" t="s">
        <v>193</v>
      </c>
      <c r="C70" s="33" t="s">
        <v>17</v>
      </c>
      <c r="D70" s="34">
        <v>1</v>
      </c>
      <c r="E70" s="35">
        <v>600</v>
      </c>
      <c r="F70" s="35">
        <v>225</v>
      </c>
      <c r="G70" s="35">
        <v>825</v>
      </c>
      <c r="H70" s="35">
        <v>0</v>
      </c>
      <c r="I70" s="35">
        <v>600</v>
      </c>
      <c r="J70" s="36">
        <v>0</v>
      </c>
      <c r="K70" s="35">
        <v>6.45</v>
      </c>
      <c r="L70" s="35">
        <v>50.28</v>
      </c>
      <c r="M70" s="35">
        <v>543.27</v>
      </c>
      <c r="N70" s="36">
        <v>0.90545</v>
      </c>
      <c r="O70" s="37" t="s">
        <v>127</v>
      </c>
      <c r="P70" s="37" t="s">
        <v>26</v>
      </c>
      <c r="Q70" s="38" t="s">
        <v>26</v>
      </c>
    </row>
    <row r="71" spans="2:17" x14ac:dyDescent="0.25">
      <c r="B71" s="32" t="s">
        <v>194</v>
      </c>
      <c r="C71" s="33" t="s">
        <v>17</v>
      </c>
      <c r="D71" s="34">
        <v>1</v>
      </c>
      <c r="E71" s="35">
        <v>350</v>
      </c>
      <c r="F71" s="35">
        <v>1145</v>
      </c>
      <c r="G71" s="35">
        <v>1495</v>
      </c>
      <c r="H71" s="35">
        <v>350</v>
      </c>
      <c r="I71" s="35">
        <v>0</v>
      </c>
      <c r="J71" s="36">
        <v>1</v>
      </c>
      <c r="K71" s="35">
        <v>6.45</v>
      </c>
      <c r="L71" s="35">
        <v>72.76</v>
      </c>
      <c r="M71" s="35">
        <v>270.79</v>
      </c>
      <c r="N71" s="36">
        <v>0.7736857142857143</v>
      </c>
      <c r="O71" s="37" t="s">
        <v>195</v>
      </c>
      <c r="P71" s="37" t="s">
        <v>196</v>
      </c>
      <c r="Q71" s="40">
        <v>198</v>
      </c>
    </row>
    <row r="72" spans="2:17" x14ac:dyDescent="0.25">
      <c r="B72" s="32" t="s">
        <v>197</v>
      </c>
      <c r="C72" s="33" t="s">
        <v>17</v>
      </c>
      <c r="D72" s="34">
        <v>1</v>
      </c>
      <c r="E72" s="35">
        <v>350</v>
      </c>
      <c r="F72" s="35">
        <v>1145</v>
      </c>
      <c r="G72" s="35">
        <v>1495</v>
      </c>
      <c r="H72" s="35">
        <v>350</v>
      </c>
      <c r="I72" s="35">
        <v>0</v>
      </c>
      <c r="J72" s="36">
        <v>1</v>
      </c>
      <c r="K72" s="35">
        <v>5.75</v>
      </c>
      <c r="L72" s="35">
        <v>0</v>
      </c>
      <c r="M72" s="35">
        <v>344.25</v>
      </c>
      <c r="N72" s="36">
        <v>0.9835714285714285</v>
      </c>
      <c r="O72" s="37" t="s">
        <v>198</v>
      </c>
      <c r="P72" s="37" t="s">
        <v>199</v>
      </c>
      <c r="Q72" s="40">
        <v>189</v>
      </c>
    </row>
    <row r="73" spans="2:17" x14ac:dyDescent="0.25">
      <c r="B73" s="32" t="s">
        <v>200</v>
      </c>
      <c r="C73" s="33" t="s">
        <v>18</v>
      </c>
      <c r="D73" s="34">
        <v>2</v>
      </c>
      <c r="E73" s="35">
        <v>0</v>
      </c>
      <c r="F73" s="35">
        <v>2475</v>
      </c>
      <c r="G73" s="35">
        <v>2475</v>
      </c>
      <c r="H73" s="35">
        <v>0</v>
      </c>
      <c r="I73" s="35">
        <v>0</v>
      </c>
      <c r="J73" s="36">
        <v>0</v>
      </c>
      <c r="K73" s="35">
        <v>6.45</v>
      </c>
      <c r="L73" s="35">
        <v>73.09</v>
      </c>
      <c r="M73" s="35">
        <v>-79.54</v>
      </c>
      <c r="N73" s="36">
        <v>0</v>
      </c>
      <c r="O73" s="37" t="s">
        <v>67</v>
      </c>
      <c r="P73" s="37" t="s">
        <v>201</v>
      </c>
      <c r="Q73" s="40">
        <v>161</v>
      </c>
    </row>
    <row r="74" spans="2:17" x14ac:dyDescent="0.25">
      <c r="B74" s="32" t="s">
        <v>202</v>
      </c>
      <c r="C74" s="33" t="s">
        <v>18</v>
      </c>
      <c r="D74" s="34">
        <v>1</v>
      </c>
      <c r="E74" s="35">
        <v>0</v>
      </c>
      <c r="F74" s="35">
        <v>825</v>
      </c>
      <c r="G74" s="35">
        <v>825</v>
      </c>
      <c r="H74" s="35">
        <v>0</v>
      </c>
      <c r="I74" s="35">
        <v>0</v>
      </c>
      <c r="J74" s="36">
        <v>0</v>
      </c>
      <c r="K74" s="35">
        <v>3.23</v>
      </c>
      <c r="L74" s="35">
        <v>68.24</v>
      </c>
      <c r="M74" s="35">
        <v>-71.47</v>
      </c>
      <c r="N74" s="36">
        <v>0</v>
      </c>
      <c r="O74" s="37" t="s">
        <v>73</v>
      </c>
      <c r="P74" s="37" t="s">
        <v>26</v>
      </c>
      <c r="Q74" s="38" t="s">
        <v>26</v>
      </c>
    </row>
    <row r="75" spans="2:17" x14ac:dyDescent="0.25">
      <c r="B75" s="32" t="s">
        <v>203</v>
      </c>
      <c r="C75" s="33" t="s">
        <v>18</v>
      </c>
      <c r="D75" s="34">
        <v>1</v>
      </c>
      <c r="E75" s="35">
        <v>0</v>
      </c>
      <c r="F75" s="35">
        <v>825</v>
      </c>
      <c r="G75" s="35">
        <v>825</v>
      </c>
      <c r="H75" s="35">
        <v>0</v>
      </c>
      <c r="I75" s="35">
        <v>0</v>
      </c>
      <c r="J75" s="36">
        <v>0</v>
      </c>
      <c r="K75" s="35">
        <v>4.6</v>
      </c>
      <c r="L75" s="35">
        <v>0</v>
      </c>
      <c r="M75" s="35">
        <v>-4.6</v>
      </c>
      <c r="N75" s="36">
        <v>0</v>
      </c>
      <c r="O75" s="37" t="s">
        <v>137</v>
      </c>
      <c r="P75" s="37" t="s">
        <v>26</v>
      </c>
      <c r="Q75" s="38" t="s">
        <v>26</v>
      </c>
    </row>
    <row r="76" spans="2:17" x14ac:dyDescent="0.25">
      <c r="B76" s="32" t="s">
        <v>204</v>
      </c>
      <c r="C76" s="33" t="s">
        <v>17</v>
      </c>
      <c r="D76" s="34">
        <v>1</v>
      </c>
      <c r="E76" s="35">
        <v>0</v>
      </c>
      <c r="F76" s="35">
        <v>825</v>
      </c>
      <c r="G76" s="35">
        <v>825</v>
      </c>
      <c r="H76" s="35">
        <v>0</v>
      </c>
      <c r="I76" s="35">
        <v>0</v>
      </c>
      <c r="J76" s="36">
        <v>0</v>
      </c>
      <c r="K76" s="35">
        <v>3.23</v>
      </c>
      <c r="L76" s="35">
        <v>43.57</v>
      </c>
      <c r="M76" s="35">
        <v>-46.8</v>
      </c>
      <c r="N76" s="36">
        <v>0</v>
      </c>
      <c r="O76" s="37" t="s">
        <v>205</v>
      </c>
      <c r="P76" s="37" t="s">
        <v>26</v>
      </c>
      <c r="Q76" s="38" t="s">
        <v>26</v>
      </c>
    </row>
    <row r="77" spans="2:17" x14ac:dyDescent="0.25">
      <c r="B77" s="32" t="s">
        <v>206</v>
      </c>
      <c r="C77" s="33" t="s">
        <v>18</v>
      </c>
      <c r="D77" s="34">
        <v>1</v>
      </c>
      <c r="E77" s="35">
        <v>0</v>
      </c>
      <c r="F77" s="35">
        <v>825</v>
      </c>
      <c r="G77" s="35">
        <v>825</v>
      </c>
      <c r="H77" s="35">
        <v>0</v>
      </c>
      <c r="I77" s="35">
        <v>0</v>
      </c>
      <c r="J77" s="36">
        <v>0</v>
      </c>
      <c r="K77" s="35">
        <v>4.6</v>
      </c>
      <c r="L77" s="35">
        <v>58.76</v>
      </c>
      <c r="M77" s="35">
        <v>-63.36</v>
      </c>
      <c r="N77" s="36">
        <v>0</v>
      </c>
      <c r="O77" s="37" t="s">
        <v>65</v>
      </c>
      <c r="P77" s="37" t="s">
        <v>26</v>
      </c>
      <c r="Q77" s="38" t="s">
        <v>26</v>
      </c>
    </row>
    <row r="78" spans="2:17" x14ac:dyDescent="0.25">
      <c r="B78" s="32" t="s">
        <v>207</v>
      </c>
      <c r="C78" s="33" t="s">
        <v>17</v>
      </c>
      <c r="D78" s="34">
        <v>1</v>
      </c>
      <c r="E78" s="35">
        <v>0</v>
      </c>
      <c r="F78" s="35">
        <v>825</v>
      </c>
      <c r="G78" s="35">
        <v>825</v>
      </c>
      <c r="H78" s="35">
        <v>0</v>
      </c>
      <c r="I78" s="35">
        <v>0</v>
      </c>
      <c r="J78" s="36">
        <v>0</v>
      </c>
      <c r="K78" s="35">
        <v>3.23</v>
      </c>
      <c r="L78" s="35">
        <v>64.28</v>
      </c>
      <c r="M78" s="35">
        <v>-67.51</v>
      </c>
      <c r="N78" s="36">
        <v>0</v>
      </c>
      <c r="O78" s="37" t="s">
        <v>80</v>
      </c>
      <c r="P78" s="37" t="s">
        <v>26</v>
      </c>
      <c r="Q78" s="38" t="s">
        <v>26</v>
      </c>
    </row>
    <row r="79" spans="2:17" x14ac:dyDescent="0.25">
      <c r="B79" s="32" t="s">
        <v>208</v>
      </c>
      <c r="C79" s="33" t="s">
        <v>18</v>
      </c>
      <c r="D79" s="34">
        <v>1</v>
      </c>
      <c r="E79" s="35">
        <v>0</v>
      </c>
      <c r="F79" s="35">
        <v>825</v>
      </c>
      <c r="G79" s="35">
        <v>825</v>
      </c>
      <c r="H79" s="35">
        <v>0</v>
      </c>
      <c r="I79" s="35">
        <v>0</v>
      </c>
      <c r="J79" s="36">
        <v>0</v>
      </c>
      <c r="K79" s="35">
        <v>3.23</v>
      </c>
      <c r="L79" s="35">
        <v>0</v>
      </c>
      <c r="M79" s="35">
        <v>-3.23</v>
      </c>
      <c r="N79" s="36">
        <v>0</v>
      </c>
      <c r="O79" s="37" t="s">
        <v>89</v>
      </c>
      <c r="P79" s="37" t="s">
        <v>26</v>
      </c>
      <c r="Q79" s="38" t="s">
        <v>26</v>
      </c>
    </row>
    <row r="80" spans="2:17" x14ac:dyDescent="0.25">
      <c r="B80" s="32" t="s">
        <v>209</v>
      </c>
      <c r="C80" s="33" t="s">
        <v>17</v>
      </c>
      <c r="D80" s="34">
        <v>2</v>
      </c>
      <c r="E80" s="35">
        <v>0</v>
      </c>
      <c r="F80" s="35">
        <v>1650</v>
      </c>
      <c r="G80" s="35">
        <v>1650</v>
      </c>
      <c r="H80" s="35">
        <v>0</v>
      </c>
      <c r="I80" s="35">
        <v>0</v>
      </c>
      <c r="J80" s="36">
        <v>0</v>
      </c>
      <c r="K80" s="35">
        <v>9.2</v>
      </c>
      <c r="L80" s="35">
        <v>164.54</v>
      </c>
      <c r="M80" s="35">
        <v>-173.74</v>
      </c>
      <c r="N80" s="36">
        <v>0</v>
      </c>
      <c r="O80" s="37" t="s">
        <v>99</v>
      </c>
      <c r="P80" s="37" t="s">
        <v>26</v>
      </c>
      <c r="Q80" s="38" t="s">
        <v>26</v>
      </c>
    </row>
    <row r="81" spans="2:17" x14ac:dyDescent="0.25">
      <c r="B81" s="32" t="s">
        <v>210</v>
      </c>
      <c r="C81" s="33" t="s">
        <v>18</v>
      </c>
      <c r="D81" s="34">
        <v>1</v>
      </c>
      <c r="E81" s="35">
        <v>0</v>
      </c>
      <c r="F81" s="35">
        <v>1650</v>
      </c>
      <c r="G81" s="35">
        <v>1650</v>
      </c>
      <c r="H81" s="35">
        <v>0</v>
      </c>
      <c r="I81" s="35">
        <v>0</v>
      </c>
      <c r="J81" s="36">
        <v>0</v>
      </c>
      <c r="K81" s="35">
        <v>9.2</v>
      </c>
      <c r="L81" s="35">
        <v>77.27</v>
      </c>
      <c r="M81" s="35">
        <v>-86.47</v>
      </c>
      <c r="N81" s="36">
        <v>0</v>
      </c>
      <c r="O81" s="37" t="s">
        <v>135</v>
      </c>
      <c r="P81" s="37" t="s">
        <v>26</v>
      </c>
      <c r="Q81" s="38" t="s">
        <v>26</v>
      </c>
    </row>
    <row r="82" spans="2:17" x14ac:dyDescent="0.25">
      <c r="B82" s="32" t="s">
        <v>211</v>
      </c>
      <c r="C82" s="33" t="s">
        <v>18</v>
      </c>
      <c r="D82" s="34">
        <v>1</v>
      </c>
      <c r="E82" s="35">
        <v>0</v>
      </c>
      <c r="F82" s="35">
        <v>825</v>
      </c>
      <c r="G82" s="35">
        <v>825</v>
      </c>
      <c r="H82" s="35">
        <v>0</v>
      </c>
      <c r="I82" s="35">
        <v>0</v>
      </c>
      <c r="J82" s="36">
        <v>0</v>
      </c>
      <c r="K82" s="35">
        <v>4.6</v>
      </c>
      <c r="L82" s="35">
        <v>69.64</v>
      </c>
      <c r="M82" s="35">
        <v>-74.24</v>
      </c>
      <c r="N82" s="36">
        <v>0</v>
      </c>
      <c r="O82" s="37" t="s">
        <v>212</v>
      </c>
      <c r="P82" s="37" t="s">
        <v>26</v>
      </c>
      <c r="Q82" s="38" t="s">
        <v>26</v>
      </c>
    </row>
    <row r="83" spans="2:17" x14ac:dyDescent="0.25">
      <c r="B83" s="32" t="s">
        <v>213</v>
      </c>
      <c r="C83" s="33" t="s">
        <v>17</v>
      </c>
      <c r="D83" s="34">
        <v>1</v>
      </c>
      <c r="E83" s="35">
        <v>0</v>
      </c>
      <c r="F83" s="35">
        <v>1650</v>
      </c>
      <c r="G83" s="35">
        <v>1650</v>
      </c>
      <c r="H83" s="35">
        <v>0</v>
      </c>
      <c r="I83" s="35">
        <v>0</v>
      </c>
      <c r="J83" s="36">
        <v>0</v>
      </c>
      <c r="K83" s="35">
        <v>12.9</v>
      </c>
      <c r="L83" s="35">
        <v>90.31</v>
      </c>
      <c r="M83" s="35">
        <v>-103.21</v>
      </c>
      <c r="N83" s="36">
        <v>0</v>
      </c>
      <c r="O83" s="37" t="s">
        <v>214</v>
      </c>
      <c r="P83" s="37" t="s">
        <v>26</v>
      </c>
      <c r="Q83" s="38" t="s">
        <v>26</v>
      </c>
    </row>
    <row r="84" spans="2:17" x14ac:dyDescent="0.25">
      <c r="B84" s="32" t="s">
        <v>215</v>
      </c>
      <c r="C84" s="33" t="s">
        <v>18</v>
      </c>
      <c r="D84" s="34">
        <v>1</v>
      </c>
      <c r="E84" s="35">
        <v>0</v>
      </c>
      <c r="F84" s="35">
        <v>825</v>
      </c>
      <c r="G84" s="35">
        <v>825</v>
      </c>
      <c r="H84" s="35">
        <v>0</v>
      </c>
      <c r="I84" s="35">
        <v>0</v>
      </c>
      <c r="J84" s="36">
        <v>0</v>
      </c>
      <c r="K84" s="35">
        <v>6.45</v>
      </c>
      <c r="L84" s="35">
        <v>90.39</v>
      </c>
      <c r="M84" s="35">
        <v>-96.84</v>
      </c>
      <c r="N84" s="36">
        <v>0</v>
      </c>
      <c r="O84" s="37" t="s">
        <v>216</v>
      </c>
      <c r="P84" s="37" t="s">
        <v>26</v>
      </c>
      <c r="Q84" s="38" t="s">
        <v>26</v>
      </c>
    </row>
  </sheetData>
  <mergeCells count="2">
    <mergeCell ref="B2:N2"/>
    <mergeCell ref="B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7"/>
  <sheetFormatPr defaultRowHeight="15" outlineLevelRow="0" outlineLevelCol="0" x14ac:dyDescent="55"/>
  <cols>
    <col min="1" max="1" width="3" customWidth="1"/>
    <col min="2" max="2" width="40" customWidth="1"/>
    <col min="3" max="3" width="18" customWidth="1"/>
    <col min="4" max="4" width="8" customWidth="1"/>
    <col min="5" max="5" width="13" customWidth="1"/>
    <col min="6" max="7" width="12" customWidth="1"/>
    <col min="8" max="8" width="16" customWidth="1"/>
    <col min="9" max="9" width="14" customWidth="1"/>
  </cols>
  <sheetData>
    <row r="2" ht="30" customHeight="1" spans="2:8" x14ac:dyDescent="0.25">
      <c r="B2" s="29" t="s">
        <v>217</v>
      </c>
      <c r="C2" s="29"/>
      <c r="D2" s="29"/>
      <c r="E2" s="29"/>
      <c r="F2" s="29"/>
      <c r="G2" s="29"/>
      <c r="H2" s="29"/>
    </row>
    <row r="3" spans="2:8" x14ac:dyDescent="0.25">
      <c r="B3" s="8" t="s">
        <v>218</v>
      </c>
      <c r="C3" s="8"/>
      <c r="D3" s="8"/>
      <c r="E3" s="8"/>
      <c r="F3" s="8"/>
      <c r="G3" s="8"/>
      <c r="H3" s="8"/>
    </row>
    <row r="5" ht="30" customHeight="1" spans="2:9" x14ac:dyDescent="0.25">
      <c r="B5" s="30" t="s">
        <v>219</v>
      </c>
      <c r="C5" s="30" t="s">
        <v>46</v>
      </c>
      <c r="D5" s="30" t="s">
        <v>220</v>
      </c>
      <c r="E5" s="31" t="s">
        <v>221</v>
      </c>
      <c r="F5" s="31" t="s">
        <v>222</v>
      </c>
      <c r="G5" s="31" t="s">
        <v>223</v>
      </c>
      <c r="H5" s="31" t="s">
        <v>224</v>
      </c>
      <c r="I5" s="31" t="s">
        <v>225</v>
      </c>
    </row>
    <row r="6" spans="2:9" x14ac:dyDescent="0.25">
      <c r="B6" s="32" t="s">
        <v>60</v>
      </c>
      <c r="C6" s="33" t="s">
        <v>17</v>
      </c>
      <c r="D6" s="33" t="s">
        <v>226</v>
      </c>
      <c r="E6" s="37" t="s">
        <v>151</v>
      </c>
      <c r="F6" s="34">
        <v>8</v>
      </c>
      <c r="G6" s="34">
        <v>64</v>
      </c>
      <c r="H6" s="41">
        <v>38630</v>
      </c>
      <c r="I6" s="39">
        <v>40</v>
      </c>
    </row>
    <row r="7" spans="2:9" x14ac:dyDescent="0.25">
      <c r="B7" s="32" t="s">
        <v>63</v>
      </c>
      <c r="C7" s="33" t="s">
        <v>17</v>
      </c>
      <c r="D7" s="33" t="s">
        <v>227</v>
      </c>
      <c r="E7" s="37" t="s">
        <v>228</v>
      </c>
      <c r="F7" s="34">
        <v>9</v>
      </c>
      <c r="G7" s="34">
        <v>69</v>
      </c>
      <c r="H7" s="41">
        <v>37545</v>
      </c>
      <c r="I7" s="38">
        <v>1</v>
      </c>
    </row>
    <row r="8" spans="2:9" x14ac:dyDescent="0.25">
      <c r="B8" s="32" t="s">
        <v>66</v>
      </c>
      <c r="C8" s="33" t="s">
        <v>17</v>
      </c>
      <c r="D8" s="33" t="s">
        <v>227</v>
      </c>
      <c r="E8" s="37" t="s">
        <v>151</v>
      </c>
      <c r="F8" s="34">
        <v>8</v>
      </c>
      <c r="G8" s="34">
        <v>59</v>
      </c>
      <c r="H8" s="41">
        <v>31050</v>
      </c>
      <c r="I8" s="38">
        <v>0</v>
      </c>
    </row>
    <row r="9" spans="2:9" x14ac:dyDescent="0.25">
      <c r="B9" s="32" t="s">
        <v>69</v>
      </c>
      <c r="C9" s="33" t="s">
        <v>17</v>
      </c>
      <c r="D9" s="33" t="s">
        <v>227</v>
      </c>
      <c r="E9" s="37" t="s">
        <v>229</v>
      </c>
      <c r="F9" s="34">
        <v>19</v>
      </c>
      <c r="G9" s="34">
        <v>58</v>
      </c>
      <c r="H9" s="41">
        <v>26250</v>
      </c>
      <c r="I9" s="38">
        <v>2</v>
      </c>
    </row>
    <row r="10" spans="2:9" x14ac:dyDescent="0.25">
      <c r="B10" s="32" t="s">
        <v>75</v>
      </c>
      <c r="C10" s="33" t="s">
        <v>17</v>
      </c>
      <c r="D10" s="33" t="s">
        <v>227</v>
      </c>
      <c r="E10" s="37" t="s">
        <v>230</v>
      </c>
      <c r="F10" s="34">
        <v>9</v>
      </c>
      <c r="G10" s="34">
        <v>55</v>
      </c>
      <c r="H10" s="41">
        <v>24000</v>
      </c>
      <c r="I10" s="38">
        <v>0</v>
      </c>
    </row>
    <row r="11" spans="2:9" x14ac:dyDescent="0.25">
      <c r="B11" s="32" t="s">
        <v>72</v>
      </c>
      <c r="C11" s="33" t="s">
        <v>17</v>
      </c>
      <c r="D11" s="33" t="s">
        <v>227</v>
      </c>
      <c r="E11" s="37" t="s">
        <v>231</v>
      </c>
      <c r="F11" s="34">
        <v>16</v>
      </c>
      <c r="G11" s="34">
        <v>37</v>
      </c>
      <c r="H11" s="41">
        <v>21000</v>
      </c>
      <c r="I11" s="38">
        <v>9</v>
      </c>
    </row>
    <row r="12" spans="2:9" x14ac:dyDescent="0.25">
      <c r="B12" s="32" t="s">
        <v>78</v>
      </c>
      <c r="C12" s="33" t="s">
        <v>17</v>
      </c>
      <c r="D12" s="33" t="s">
        <v>227</v>
      </c>
      <c r="E12" s="37" t="s">
        <v>151</v>
      </c>
      <c r="F12" s="34">
        <v>6</v>
      </c>
      <c r="G12" s="34">
        <v>24</v>
      </c>
      <c r="H12" s="41">
        <v>12700</v>
      </c>
      <c r="I12" s="39">
        <v>49</v>
      </c>
    </row>
    <row r="13" spans="2:9" x14ac:dyDescent="0.25">
      <c r="B13" s="32" t="s">
        <v>83</v>
      </c>
      <c r="C13" s="33" t="s">
        <v>18</v>
      </c>
      <c r="D13" s="33" t="s">
        <v>232</v>
      </c>
      <c r="E13" s="37" t="s">
        <v>151</v>
      </c>
      <c r="F13" s="34">
        <v>10</v>
      </c>
      <c r="G13" s="34">
        <v>30</v>
      </c>
      <c r="H13" s="41">
        <v>11100</v>
      </c>
      <c r="I13" s="38">
        <v>2</v>
      </c>
    </row>
    <row r="14" spans="2:9" x14ac:dyDescent="0.25">
      <c r="B14" s="32" t="s">
        <v>88</v>
      </c>
      <c r="C14" s="33" t="s">
        <v>17</v>
      </c>
      <c r="D14" s="33" t="s">
        <v>233</v>
      </c>
      <c r="E14" s="37" t="s">
        <v>234</v>
      </c>
      <c r="F14" s="34">
        <v>8</v>
      </c>
      <c r="G14" s="34">
        <v>22</v>
      </c>
      <c r="H14" s="41">
        <v>10800</v>
      </c>
      <c r="I14" s="39">
        <v>47</v>
      </c>
    </row>
    <row r="15" spans="2:9" x14ac:dyDescent="0.25">
      <c r="B15" s="32" t="s">
        <v>91</v>
      </c>
      <c r="C15" s="33" t="s">
        <v>18</v>
      </c>
      <c r="D15" s="33" t="s">
        <v>226</v>
      </c>
      <c r="E15" s="37" t="s">
        <v>235</v>
      </c>
      <c r="F15" s="34">
        <v>4</v>
      </c>
      <c r="G15" s="34">
        <v>17</v>
      </c>
      <c r="H15" s="41">
        <v>10200</v>
      </c>
      <c r="I15" s="40">
        <v>127</v>
      </c>
    </row>
    <row r="16" spans="2:9" x14ac:dyDescent="0.25">
      <c r="B16" s="32" t="s">
        <v>94</v>
      </c>
      <c r="C16" s="33" t="s">
        <v>17</v>
      </c>
      <c r="D16" s="33" t="s">
        <v>227</v>
      </c>
      <c r="E16" s="37" t="s">
        <v>236</v>
      </c>
      <c r="F16" s="34">
        <v>3</v>
      </c>
      <c r="G16" s="34">
        <v>18</v>
      </c>
      <c r="H16" s="41">
        <v>9800</v>
      </c>
      <c r="I16" s="40">
        <v>139</v>
      </c>
    </row>
    <row r="17" spans="2:9" x14ac:dyDescent="0.25">
      <c r="B17" s="32" t="s">
        <v>100</v>
      </c>
      <c r="C17" s="33" t="s">
        <v>17</v>
      </c>
      <c r="D17" s="33" t="s">
        <v>227</v>
      </c>
      <c r="E17" s="37" t="s">
        <v>95</v>
      </c>
      <c r="F17" s="34">
        <v>4</v>
      </c>
      <c r="G17" s="34">
        <v>18</v>
      </c>
      <c r="H17" s="41">
        <v>9600</v>
      </c>
      <c r="I17" s="39">
        <v>50</v>
      </c>
    </row>
    <row r="18" spans="2:9" x14ac:dyDescent="0.25">
      <c r="B18" s="32" t="s">
        <v>102</v>
      </c>
      <c r="C18" s="33" t="s">
        <v>17</v>
      </c>
      <c r="D18" s="33" t="s">
        <v>233</v>
      </c>
      <c r="E18" s="37" t="s">
        <v>237</v>
      </c>
      <c r="F18" s="34">
        <v>8</v>
      </c>
      <c r="G18" s="34">
        <v>17</v>
      </c>
      <c r="H18" s="41">
        <v>8500</v>
      </c>
      <c r="I18" s="38">
        <v>6</v>
      </c>
    </row>
    <row r="19" spans="2:9" x14ac:dyDescent="0.25">
      <c r="B19" s="32" t="s">
        <v>111</v>
      </c>
      <c r="C19" s="33" t="s">
        <v>18</v>
      </c>
      <c r="D19" s="33" t="s">
        <v>238</v>
      </c>
      <c r="E19" s="37" t="s">
        <v>239</v>
      </c>
      <c r="F19" s="34">
        <v>9</v>
      </c>
      <c r="G19" s="34">
        <v>23</v>
      </c>
      <c r="H19" s="41">
        <v>7650</v>
      </c>
      <c r="I19" s="38">
        <v>7</v>
      </c>
    </row>
    <row r="20" spans="2:9" x14ac:dyDescent="0.25">
      <c r="B20" s="32" t="s">
        <v>105</v>
      </c>
      <c r="C20" s="33" t="s">
        <v>17</v>
      </c>
      <c r="D20" s="33" t="s">
        <v>233</v>
      </c>
      <c r="E20" s="37" t="s">
        <v>125</v>
      </c>
      <c r="F20" s="34">
        <v>6</v>
      </c>
      <c r="G20" s="34">
        <v>12</v>
      </c>
      <c r="H20" s="41">
        <v>7350</v>
      </c>
      <c r="I20" s="39">
        <v>58</v>
      </c>
    </row>
    <row r="21" spans="2:9" x14ac:dyDescent="0.25">
      <c r="B21" s="32" t="s">
        <v>120</v>
      </c>
      <c r="C21" s="33" t="s">
        <v>17</v>
      </c>
      <c r="D21" s="33" t="s">
        <v>227</v>
      </c>
      <c r="E21" s="37" t="s">
        <v>240</v>
      </c>
      <c r="F21" s="34">
        <v>5</v>
      </c>
      <c r="G21" s="34">
        <v>8</v>
      </c>
      <c r="H21" s="41">
        <v>6430</v>
      </c>
      <c r="I21" s="39">
        <v>34</v>
      </c>
    </row>
    <row r="22" spans="2:9" x14ac:dyDescent="0.25">
      <c r="B22" s="32" t="s">
        <v>117</v>
      </c>
      <c r="C22" s="33" t="s">
        <v>17</v>
      </c>
      <c r="D22" s="33" t="s">
        <v>241</v>
      </c>
      <c r="E22" s="37" t="s">
        <v>189</v>
      </c>
      <c r="F22" s="34">
        <v>5</v>
      </c>
      <c r="G22" s="34">
        <v>13</v>
      </c>
      <c r="H22" s="41">
        <v>6075</v>
      </c>
      <c r="I22" s="39">
        <v>34</v>
      </c>
    </row>
    <row r="23" spans="2:9" x14ac:dyDescent="0.25">
      <c r="B23" s="32" t="s">
        <v>123</v>
      </c>
      <c r="C23" s="33" t="s">
        <v>17</v>
      </c>
      <c r="D23" s="33" t="s">
        <v>233</v>
      </c>
      <c r="E23" s="37" t="s">
        <v>124</v>
      </c>
      <c r="F23" s="34">
        <v>2</v>
      </c>
      <c r="G23" s="34">
        <v>10</v>
      </c>
      <c r="H23" s="41">
        <v>5500</v>
      </c>
      <c r="I23" s="40">
        <v>197</v>
      </c>
    </row>
    <row r="24" spans="2:9" x14ac:dyDescent="0.25">
      <c r="B24" s="32" t="s">
        <v>126</v>
      </c>
      <c r="C24" s="33" t="s">
        <v>17</v>
      </c>
      <c r="D24" s="33" t="s">
        <v>242</v>
      </c>
      <c r="E24" s="37" t="s">
        <v>243</v>
      </c>
      <c r="F24" s="34">
        <v>3</v>
      </c>
      <c r="G24" s="34">
        <v>15</v>
      </c>
      <c r="H24" s="41">
        <v>5400</v>
      </c>
      <c r="I24" s="38">
        <v>6</v>
      </c>
    </row>
    <row r="25" spans="2:9" x14ac:dyDescent="0.25">
      <c r="B25" s="32" t="s">
        <v>139</v>
      </c>
      <c r="C25" s="33" t="s">
        <v>18</v>
      </c>
      <c r="D25" s="33" t="s">
        <v>244</v>
      </c>
      <c r="E25" s="37" t="s">
        <v>199</v>
      </c>
      <c r="F25" s="34">
        <v>2</v>
      </c>
      <c r="G25" s="34">
        <v>10</v>
      </c>
      <c r="H25" s="41">
        <v>4800</v>
      </c>
      <c r="I25" s="40">
        <v>71</v>
      </c>
    </row>
    <row r="26" spans="2:9" x14ac:dyDescent="0.25">
      <c r="B26" s="32" t="s">
        <v>143</v>
      </c>
      <c r="C26" s="33" t="s">
        <v>17</v>
      </c>
      <c r="D26" s="33" t="s">
        <v>227</v>
      </c>
      <c r="E26" s="37" t="s">
        <v>125</v>
      </c>
      <c r="F26" s="34">
        <v>4</v>
      </c>
      <c r="G26" s="34">
        <v>5</v>
      </c>
      <c r="H26" s="41">
        <v>2500</v>
      </c>
      <c r="I26" s="39">
        <v>40</v>
      </c>
    </row>
    <row r="27" spans="2:9" x14ac:dyDescent="0.25">
      <c r="B27" s="32" t="s">
        <v>147</v>
      </c>
      <c r="C27" s="33" t="s">
        <v>18</v>
      </c>
      <c r="D27" s="33" t="s">
        <v>238</v>
      </c>
      <c r="E27" s="37" t="s">
        <v>148</v>
      </c>
      <c r="F27" s="34">
        <v>2</v>
      </c>
      <c r="G27" s="34">
        <v>5</v>
      </c>
      <c r="H27" s="41">
        <v>2400</v>
      </c>
      <c r="I27" s="40">
        <v>106</v>
      </c>
    </row>
    <row r="28" spans="2:9" x14ac:dyDescent="0.25">
      <c r="B28" s="32" t="s">
        <v>149</v>
      </c>
      <c r="C28" s="33" t="s">
        <v>18</v>
      </c>
      <c r="D28" s="33" t="s">
        <v>238</v>
      </c>
      <c r="E28" s="37" t="s">
        <v>148</v>
      </c>
      <c r="F28" s="34">
        <v>1</v>
      </c>
      <c r="G28" s="34">
        <v>4</v>
      </c>
      <c r="H28" s="41">
        <v>2400</v>
      </c>
      <c r="I28" s="40">
        <v>175</v>
      </c>
    </row>
    <row r="29" spans="2:9" x14ac:dyDescent="0.25">
      <c r="B29" s="32" t="s">
        <v>157</v>
      </c>
      <c r="C29" s="33" t="s">
        <v>18</v>
      </c>
      <c r="D29" s="33" t="s">
        <v>245</v>
      </c>
      <c r="E29" s="37" t="s">
        <v>189</v>
      </c>
      <c r="F29" s="34">
        <v>2</v>
      </c>
      <c r="G29" s="34">
        <v>2</v>
      </c>
      <c r="H29" s="41">
        <v>1275</v>
      </c>
      <c r="I29" s="39">
        <v>43</v>
      </c>
    </row>
    <row r="30" spans="2:9" x14ac:dyDescent="0.25">
      <c r="B30" s="32" t="s">
        <v>161</v>
      </c>
      <c r="C30" s="33" t="s">
        <v>18</v>
      </c>
      <c r="D30" s="33" t="s">
        <v>238</v>
      </c>
      <c r="E30" s="37" t="s">
        <v>121</v>
      </c>
      <c r="F30" s="34">
        <v>5</v>
      </c>
      <c r="G30" s="34">
        <v>10</v>
      </c>
      <c r="H30" s="41">
        <v>1200</v>
      </c>
      <c r="I30" s="38">
        <v>9</v>
      </c>
    </row>
    <row r="31" spans="2:9" x14ac:dyDescent="0.25">
      <c r="B31" s="32" t="s">
        <v>164</v>
      </c>
      <c r="C31" s="33" t="s">
        <v>18</v>
      </c>
      <c r="D31" s="33" t="s">
        <v>246</v>
      </c>
      <c r="E31" s="37" t="s">
        <v>165</v>
      </c>
      <c r="F31" s="34">
        <v>1</v>
      </c>
      <c r="G31" s="34">
        <v>2</v>
      </c>
      <c r="H31" s="41">
        <v>1200</v>
      </c>
      <c r="I31" s="40">
        <v>133</v>
      </c>
    </row>
    <row r="32" spans="2:9" x14ac:dyDescent="0.25">
      <c r="B32" s="32" t="s">
        <v>180</v>
      </c>
      <c r="C32" s="33" t="s">
        <v>18</v>
      </c>
      <c r="D32" s="33" t="s">
        <v>226</v>
      </c>
      <c r="E32" s="37" t="s">
        <v>92</v>
      </c>
      <c r="F32" s="34">
        <v>2</v>
      </c>
      <c r="G32" s="34">
        <v>2</v>
      </c>
      <c r="H32" s="41">
        <v>600</v>
      </c>
      <c r="I32" s="40">
        <v>117</v>
      </c>
    </row>
    <row r="33" spans="2:9" x14ac:dyDescent="0.25">
      <c r="B33" s="32" t="s">
        <v>183</v>
      </c>
      <c r="C33" s="33" t="s">
        <v>18</v>
      </c>
      <c r="D33" s="33" t="s">
        <v>245</v>
      </c>
      <c r="E33" s="37" t="s">
        <v>184</v>
      </c>
      <c r="F33" s="34">
        <v>1</v>
      </c>
      <c r="G33" s="34">
        <v>1</v>
      </c>
      <c r="H33" s="41">
        <v>600</v>
      </c>
      <c r="I33" s="40">
        <v>138</v>
      </c>
    </row>
    <row r="34" spans="2:9" x14ac:dyDescent="0.25">
      <c r="B34" s="32" t="s">
        <v>178</v>
      </c>
      <c r="C34" s="33" t="s">
        <v>18</v>
      </c>
      <c r="D34" s="33" t="s">
        <v>226</v>
      </c>
      <c r="E34" s="37" t="s">
        <v>247</v>
      </c>
      <c r="F34" s="34">
        <v>3</v>
      </c>
      <c r="G34" s="34">
        <v>4</v>
      </c>
      <c r="H34" s="41">
        <v>600</v>
      </c>
      <c r="I34" s="40">
        <v>93</v>
      </c>
    </row>
    <row r="35" spans="2:9" x14ac:dyDescent="0.25">
      <c r="B35" s="32" t="s">
        <v>185</v>
      </c>
      <c r="C35" s="33" t="s">
        <v>18</v>
      </c>
      <c r="D35" s="33" t="s">
        <v>248</v>
      </c>
      <c r="E35" s="37" t="s">
        <v>186</v>
      </c>
      <c r="F35" s="34">
        <v>1</v>
      </c>
      <c r="G35" s="34">
        <v>1</v>
      </c>
      <c r="H35" s="41">
        <v>600</v>
      </c>
      <c r="I35" s="40">
        <v>154</v>
      </c>
    </row>
    <row r="36" spans="2:9" x14ac:dyDescent="0.25">
      <c r="B36" s="32" t="s">
        <v>187</v>
      </c>
      <c r="C36" s="33" t="s">
        <v>17</v>
      </c>
      <c r="D36" s="33" t="s">
        <v>233</v>
      </c>
      <c r="E36" s="37" t="s">
        <v>188</v>
      </c>
      <c r="F36" s="34">
        <v>1</v>
      </c>
      <c r="G36" s="34">
        <v>1</v>
      </c>
      <c r="H36" s="41">
        <v>600</v>
      </c>
      <c r="I36" s="40">
        <v>155</v>
      </c>
    </row>
    <row r="37" spans="2:9" x14ac:dyDescent="0.25">
      <c r="B37" s="32" t="s">
        <v>169</v>
      </c>
      <c r="C37" s="33" t="s">
        <v>18</v>
      </c>
      <c r="D37" s="33" t="s">
        <v>238</v>
      </c>
      <c r="E37" s="37" t="s">
        <v>191</v>
      </c>
      <c r="F37" s="34">
        <v>2</v>
      </c>
      <c r="G37" s="34">
        <v>2</v>
      </c>
      <c r="H37" s="41">
        <v>600</v>
      </c>
      <c r="I37" s="39">
        <v>37</v>
      </c>
    </row>
    <row r="38" spans="2:9" x14ac:dyDescent="0.25">
      <c r="B38" s="32" t="s">
        <v>190</v>
      </c>
      <c r="C38" s="33" t="s">
        <v>17</v>
      </c>
      <c r="D38" s="33" t="s">
        <v>249</v>
      </c>
      <c r="E38" s="37" t="s">
        <v>191</v>
      </c>
      <c r="F38" s="34">
        <v>1</v>
      </c>
      <c r="G38" s="34">
        <v>1</v>
      </c>
      <c r="H38" s="41">
        <v>600</v>
      </c>
      <c r="I38" s="40">
        <v>162</v>
      </c>
    </row>
    <row r="39" spans="2:9" x14ac:dyDescent="0.25">
      <c r="B39" s="32" t="s">
        <v>193</v>
      </c>
      <c r="C39" s="33" t="s">
        <v>17</v>
      </c>
      <c r="D39" s="33" t="s">
        <v>242</v>
      </c>
      <c r="E39" s="37" t="s">
        <v>127</v>
      </c>
      <c r="F39" s="34">
        <v>1</v>
      </c>
      <c r="G39" s="34">
        <v>1</v>
      </c>
      <c r="H39" s="41">
        <v>600</v>
      </c>
      <c r="I39" s="40">
        <v>168</v>
      </c>
    </row>
    <row r="41" ht="24" customHeight="1" spans="2:9" x14ac:dyDescent="0.25">
      <c r="B41" s="8" t="s">
        <v>250</v>
      </c>
      <c r="C41" s="8"/>
      <c r="D41" s="8"/>
      <c r="E41" s="8"/>
      <c r="F41" s="8"/>
      <c r="G41" s="8"/>
      <c r="H41" s="8"/>
      <c r="I41" s="8"/>
    </row>
    <row r="43" ht="26" customHeight="1" spans="2:9" x14ac:dyDescent="0.25">
      <c r="B43" s="7" t="s">
        <v>251</v>
      </c>
      <c r="C43" s="7"/>
      <c r="D43" s="7"/>
      <c r="E43" s="7"/>
      <c r="F43" s="7"/>
      <c r="G43" s="7"/>
      <c r="H43" s="7"/>
      <c r="I43" s="7"/>
    </row>
    <row r="44" ht="30" customHeight="1" spans="2:7" x14ac:dyDescent="0.25">
      <c r="B44" s="30" t="s">
        <v>46</v>
      </c>
      <c r="C44" s="31" t="s">
        <v>252</v>
      </c>
      <c r="D44" s="31" t="s">
        <v>253</v>
      </c>
      <c r="E44" s="31" t="s">
        <v>254</v>
      </c>
      <c r="F44" s="31" t="s">
        <v>255</v>
      </c>
      <c r="G44" s="31" t="s">
        <v>256</v>
      </c>
    </row>
    <row r="45" spans="2:7" x14ac:dyDescent="0.25">
      <c r="B45" s="32" t="s">
        <v>17</v>
      </c>
      <c r="C45" s="34">
        <v>20</v>
      </c>
      <c r="D45" s="34">
        <v>507</v>
      </c>
      <c r="E45" s="41">
        <v>264930</v>
      </c>
      <c r="F45" s="34">
        <v>25.35</v>
      </c>
      <c r="G45" s="35">
        <v>13246.5</v>
      </c>
    </row>
    <row r="46" spans="2:7" x14ac:dyDescent="0.25">
      <c r="B46" s="32" t="s">
        <v>18</v>
      </c>
      <c r="C46" s="34">
        <v>14</v>
      </c>
      <c r="D46" s="34">
        <v>113</v>
      </c>
      <c r="E46" s="41">
        <v>45225</v>
      </c>
      <c r="F46" s="34">
        <v>8.071428571428571</v>
      </c>
      <c r="G46" s="35">
        <v>3230.3571428571427</v>
      </c>
    </row>
    <row r="47" spans="2:7" x14ac:dyDescent="0.25">
      <c r="B47" s="42" t="s">
        <v>257</v>
      </c>
      <c r="C47" s="43">
        <v>34</v>
      </c>
      <c r="D47" s="43">
        <v>620</v>
      </c>
      <c r="E47" s="44">
        <v>310155</v>
      </c>
      <c r="F47" s="43">
        <v>18.235294117647058</v>
      </c>
      <c r="G47" s="44">
        <v>9122.20588235294</v>
      </c>
    </row>
  </sheetData>
  <mergeCells count="4">
    <mergeCell ref="B2:H2"/>
    <mergeCell ref="B3:H3"/>
    <mergeCell ref="B41:I41"/>
    <mergeCell ref="B43:I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4"/>
  <sheetFormatPr defaultRowHeight="15" outlineLevelRow="0" outlineLevelCol="0" x14ac:dyDescent="55"/>
  <cols>
    <col min="1" max="1" width="3" customWidth="1"/>
    <col min="2" max="2" width="34" customWidth="1"/>
    <col min="3" max="3" width="8" customWidth="1"/>
    <col min="4" max="5" width="10" customWidth="1"/>
    <col min="6" max="7" width="14" customWidth="1"/>
    <col min="8" max="8" width="16" customWidth="1"/>
    <col min="9" max="10" width="14" customWidth="1"/>
    <col min="11" max="11" width="8" customWidth="1"/>
    <col min="12" max="12" width="12" customWidth="1"/>
    <col min="13" max="13" width="8" customWidth="1"/>
  </cols>
  <sheetData>
    <row r="2" ht="32" customHeight="1" spans="2:8" x14ac:dyDescent="0.25">
      <c r="B2" s="45" t="s">
        <v>258</v>
      </c>
      <c r="C2" s="45"/>
      <c r="D2" s="45"/>
      <c r="E2" s="45"/>
      <c r="F2" s="45"/>
      <c r="G2" s="45"/>
      <c r="H2" s="45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>
        <v>53550</v>
      </c>
      <c r="C6" s="4"/>
      <c r="D6" s="4">
        <v>28200</v>
      </c>
      <c r="E6" s="4"/>
      <c r="F6" s="4">
        <v>52492</v>
      </c>
      <c r="G6" s="4"/>
      <c r="H6" s="5">
        <v>0.9802427637721756</v>
      </c>
      <c r="I6" s="5"/>
    </row>
    <row r="7" spans="2:9" x14ac:dyDescent="0.25">
      <c r="B7" s="4"/>
      <c r="C7" s="4"/>
      <c r="D7" s="4"/>
      <c r="E7" s="4"/>
      <c r="F7" s="4"/>
      <c r="G7" s="4"/>
      <c r="H7" s="5"/>
      <c r="I7" s="5"/>
    </row>
    <row r="8" spans="2:11" x14ac:dyDescent="0.25">
      <c r="B8" s="3" t="s">
        <v>6</v>
      </c>
      <c r="C8" s="3"/>
      <c r="D8" s="3" t="s">
        <v>7</v>
      </c>
      <c r="E8" s="3"/>
      <c r="F8" s="3" t="s">
        <v>8</v>
      </c>
      <c r="G8" s="3"/>
      <c r="H8" s="3" t="s">
        <v>28</v>
      </c>
      <c r="I8" s="3"/>
      <c r="J8" s="3" t="s">
        <v>9</v>
      </c>
      <c r="K8" s="3"/>
    </row>
    <row r="9" spans="2:11" x14ac:dyDescent="0.25">
      <c r="B9" s="4">
        <v>299360</v>
      </c>
      <c r="C9" s="4"/>
      <c r="D9" s="4">
        <v>234560</v>
      </c>
      <c r="E9" s="4"/>
      <c r="F9" s="6">
        <v>25</v>
      </c>
      <c r="G9" s="6"/>
      <c r="H9" s="6">
        <v>138</v>
      </c>
      <c r="I9" s="6"/>
      <c r="J9" s="4">
        <v>44475</v>
      </c>
      <c r="K9" s="4"/>
    </row>
    <row r="10" spans="2:11" x14ac:dyDescent="0.25">
      <c r="B10" s="4"/>
      <c r="C10" s="4"/>
      <c r="D10" s="4"/>
      <c r="E10" s="4"/>
      <c r="F10" s="6"/>
      <c r="G10" s="6"/>
      <c r="H10" s="6"/>
      <c r="I10" s="6"/>
      <c r="J10" s="4"/>
      <c r="K10" s="4"/>
    </row>
    <row r="13" spans="2:13" x14ac:dyDescent="0.25">
      <c r="B13" s="9" t="s">
        <v>259</v>
      </c>
      <c r="C13" s="9" t="s">
        <v>220</v>
      </c>
      <c r="D13" s="9" t="s">
        <v>260</v>
      </c>
      <c r="E13" s="9" t="s">
        <v>261</v>
      </c>
      <c r="F13" s="9" t="s">
        <v>262</v>
      </c>
      <c r="G13" s="9" t="s">
        <v>51</v>
      </c>
      <c r="H13" s="9" t="s">
        <v>9</v>
      </c>
      <c r="I13" s="9" t="s">
        <v>57</v>
      </c>
      <c r="J13" s="9" t="s">
        <v>221</v>
      </c>
      <c r="K13" s="9" t="s">
        <v>263</v>
      </c>
      <c r="L13" s="9" t="s">
        <v>264</v>
      </c>
      <c r="M13" s="9" t="s">
        <v>265</v>
      </c>
    </row>
    <row r="14" spans="2:13" x14ac:dyDescent="0.25">
      <c r="B14" s="10" t="s">
        <v>63</v>
      </c>
      <c r="C14" s="10" t="s">
        <v>227</v>
      </c>
      <c r="D14" s="46">
        <v>7</v>
      </c>
      <c r="E14" s="46">
        <v>63</v>
      </c>
      <c r="F14" s="47">
        <v>31500</v>
      </c>
      <c r="G14" s="47">
        <v>21900</v>
      </c>
      <c r="H14" s="47">
        <v>9600</v>
      </c>
      <c r="I14" s="10" t="s">
        <v>64</v>
      </c>
      <c r="J14" s="10" t="s">
        <v>195</v>
      </c>
      <c r="K14" s="46">
        <v>2</v>
      </c>
      <c r="L14" s="10" t="s">
        <v>266</v>
      </c>
      <c r="M14" s="10" t="s">
        <v>22</v>
      </c>
    </row>
    <row r="15" spans="2:13" x14ac:dyDescent="0.25">
      <c r="B15" s="10" t="s">
        <v>69</v>
      </c>
      <c r="C15" s="10" t="s">
        <v>227</v>
      </c>
      <c r="D15" s="46">
        <v>18</v>
      </c>
      <c r="E15" s="46">
        <v>57</v>
      </c>
      <c r="F15" s="47">
        <v>25900</v>
      </c>
      <c r="G15" s="47">
        <v>19300</v>
      </c>
      <c r="H15" s="47">
        <v>6600</v>
      </c>
      <c r="I15" s="10" t="s">
        <v>70</v>
      </c>
      <c r="J15" s="10" t="s">
        <v>267</v>
      </c>
      <c r="K15" s="46">
        <v>3</v>
      </c>
      <c r="L15" s="10" t="s">
        <v>266</v>
      </c>
      <c r="M15" s="10" t="s">
        <v>22</v>
      </c>
    </row>
    <row r="16" spans="2:13" x14ac:dyDescent="0.25">
      <c r="B16" s="10" t="s">
        <v>132</v>
      </c>
      <c r="C16" s="10" t="s">
        <v>242</v>
      </c>
      <c r="D16" s="46">
        <v>2</v>
      </c>
      <c r="E16" s="46">
        <v>11</v>
      </c>
      <c r="F16" s="47">
        <v>4800</v>
      </c>
      <c r="G16" s="47">
        <v>0</v>
      </c>
      <c r="H16" s="47">
        <v>4800</v>
      </c>
      <c r="I16" s="10" t="s">
        <v>133</v>
      </c>
      <c r="J16" s="10" t="s">
        <v>133</v>
      </c>
      <c r="K16" s="46">
        <v>6</v>
      </c>
      <c r="L16" s="10" t="s">
        <v>266</v>
      </c>
      <c r="M16" s="10" t="s">
        <v>268</v>
      </c>
    </row>
    <row r="17" spans="2:13" x14ac:dyDescent="0.25">
      <c r="B17" s="10" t="s">
        <v>126</v>
      </c>
      <c r="C17" s="10" t="s">
        <v>242</v>
      </c>
      <c r="D17" s="46">
        <v>3</v>
      </c>
      <c r="E17" s="46">
        <v>15</v>
      </c>
      <c r="F17" s="47">
        <v>5400</v>
      </c>
      <c r="G17" s="47">
        <v>600</v>
      </c>
      <c r="H17" s="47">
        <v>4800</v>
      </c>
      <c r="I17" s="10" t="s">
        <v>103</v>
      </c>
      <c r="J17" s="10" t="s">
        <v>243</v>
      </c>
      <c r="K17" s="46">
        <v>7</v>
      </c>
      <c r="L17" s="10" t="s">
        <v>266</v>
      </c>
      <c r="M17" s="10" t="s">
        <v>22</v>
      </c>
    </row>
    <row r="18" spans="2:13" x14ac:dyDescent="0.25">
      <c r="B18" s="10" t="s">
        <v>110</v>
      </c>
      <c r="C18" s="10" t="s">
        <v>242</v>
      </c>
      <c r="D18" s="46">
        <v>2</v>
      </c>
      <c r="E18" s="46">
        <v>16</v>
      </c>
      <c r="F18" s="47">
        <v>6600</v>
      </c>
      <c r="G18" s="47">
        <v>0</v>
      </c>
      <c r="H18" s="47">
        <v>6600</v>
      </c>
      <c r="I18" s="10" t="s">
        <v>103</v>
      </c>
      <c r="J18" s="10" t="s">
        <v>103</v>
      </c>
      <c r="K18" s="46">
        <v>7</v>
      </c>
      <c r="L18" s="10" t="s">
        <v>266</v>
      </c>
      <c r="M18" s="10" t="s">
        <v>268</v>
      </c>
    </row>
    <row r="19" spans="2:13" x14ac:dyDescent="0.25">
      <c r="B19" s="10" t="s">
        <v>102</v>
      </c>
      <c r="C19" s="10" t="s">
        <v>233</v>
      </c>
      <c r="D19" s="46">
        <v>7</v>
      </c>
      <c r="E19" s="46">
        <v>15</v>
      </c>
      <c r="F19" s="47">
        <v>7800</v>
      </c>
      <c r="G19" s="47">
        <v>6000</v>
      </c>
      <c r="H19" s="47">
        <v>1800</v>
      </c>
      <c r="I19" s="10" t="s">
        <v>103</v>
      </c>
      <c r="J19" s="10" t="s">
        <v>269</v>
      </c>
      <c r="K19" s="46">
        <v>7</v>
      </c>
      <c r="L19" s="10" t="s">
        <v>266</v>
      </c>
      <c r="M19" s="10" t="s">
        <v>22</v>
      </c>
    </row>
    <row r="20" spans="2:13" x14ac:dyDescent="0.25">
      <c r="B20" s="10" t="s">
        <v>72</v>
      </c>
      <c r="C20" s="10" t="s">
        <v>227</v>
      </c>
      <c r="D20" s="46">
        <v>16</v>
      </c>
      <c r="E20" s="46">
        <v>37</v>
      </c>
      <c r="F20" s="47">
        <v>21000</v>
      </c>
      <c r="G20" s="47">
        <v>19200</v>
      </c>
      <c r="H20" s="47">
        <v>1800</v>
      </c>
      <c r="I20" s="10" t="s">
        <v>73</v>
      </c>
      <c r="J20" s="10" t="s">
        <v>231</v>
      </c>
      <c r="K20" s="46">
        <v>10</v>
      </c>
      <c r="L20" s="10" t="s">
        <v>266</v>
      </c>
      <c r="M20" s="10" t="s">
        <v>22</v>
      </c>
    </row>
    <row r="21" spans="2:13" x14ac:dyDescent="0.25">
      <c r="B21" s="10" t="s">
        <v>114</v>
      </c>
      <c r="C21" s="10" t="s">
        <v>270</v>
      </c>
      <c r="D21" s="46">
        <v>3</v>
      </c>
      <c r="E21" s="46">
        <v>12</v>
      </c>
      <c r="F21" s="47">
        <v>6075</v>
      </c>
      <c r="G21" s="47">
        <v>4800</v>
      </c>
      <c r="H21" s="47">
        <v>1275</v>
      </c>
      <c r="I21" s="10" t="s">
        <v>115</v>
      </c>
      <c r="J21" s="10" t="s">
        <v>93</v>
      </c>
      <c r="K21" s="46">
        <v>20</v>
      </c>
      <c r="L21" s="10" t="s">
        <v>266</v>
      </c>
      <c r="M21" s="10" t="s">
        <v>22</v>
      </c>
    </row>
    <row r="22" spans="2:13" x14ac:dyDescent="0.25">
      <c r="B22" s="10" t="s">
        <v>75</v>
      </c>
      <c r="C22" s="10" t="s">
        <v>227</v>
      </c>
      <c r="D22" s="46">
        <v>7</v>
      </c>
      <c r="E22" s="46">
        <v>35</v>
      </c>
      <c r="F22" s="47">
        <v>14400</v>
      </c>
      <c r="G22" s="47">
        <v>9600</v>
      </c>
      <c r="H22" s="47">
        <v>4800</v>
      </c>
      <c r="I22" s="10" t="s">
        <v>137</v>
      </c>
      <c r="J22" s="10" t="s">
        <v>230</v>
      </c>
      <c r="K22" s="46">
        <v>22</v>
      </c>
      <c r="L22" s="10" t="s">
        <v>266</v>
      </c>
      <c r="M22" s="10" t="s">
        <v>22</v>
      </c>
    </row>
    <row r="23" spans="2:13" x14ac:dyDescent="0.25">
      <c r="B23" s="10" t="s">
        <v>144</v>
      </c>
      <c r="C23" s="10" t="s">
        <v>271</v>
      </c>
      <c r="D23" s="46">
        <v>2</v>
      </c>
      <c r="E23" s="46">
        <v>4</v>
      </c>
      <c r="F23" s="47">
        <v>3295</v>
      </c>
      <c r="G23" s="47">
        <v>3295</v>
      </c>
      <c r="H23" s="47">
        <v>0</v>
      </c>
      <c r="I23" s="10" t="s">
        <v>145</v>
      </c>
      <c r="J23" s="10" t="s">
        <v>141</v>
      </c>
      <c r="K23" s="46">
        <v>23</v>
      </c>
      <c r="L23" s="10" t="s">
        <v>266</v>
      </c>
      <c r="M23" s="10" t="s">
        <v>22</v>
      </c>
    </row>
    <row r="24" spans="2:13" x14ac:dyDescent="0.25">
      <c r="B24" s="10" t="s">
        <v>168</v>
      </c>
      <c r="C24" s="10" t="s">
        <v>249</v>
      </c>
      <c r="D24" s="46">
        <v>1</v>
      </c>
      <c r="E24" s="46">
        <v>1</v>
      </c>
      <c r="F24" s="47">
        <v>675</v>
      </c>
      <c r="G24" s="47">
        <v>675</v>
      </c>
      <c r="H24" s="47">
        <v>0</v>
      </c>
      <c r="I24" s="10" t="s">
        <v>82</v>
      </c>
      <c r="J24" s="10" t="s">
        <v>82</v>
      </c>
      <c r="K24" s="46">
        <v>29</v>
      </c>
      <c r="L24" s="10" t="s">
        <v>266</v>
      </c>
      <c r="M24" s="10" t="s">
        <v>268</v>
      </c>
    </row>
    <row r="25" spans="2:13" x14ac:dyDescent="0.25">
      <c r="B25" s="10" t="s">
        <v>108</v>
      </c>
      <c r="C25" s="10" t="s">
        <v>227</v>
      </c>
      <c r="D25" s="46">
        <v>4</v>
      </c>
      <c r="E25" s="46">
        <v>12</v>
      </c>
      <c r="F25" s="47">
        <v>7335</v>
      </c>
      <c r="G25" s="47">
        <v>7335</v>
      </c>
      <c r="H25" s="47">
        <v>0</v>
      </c>
      <c r="I25" s="10" t="s">
        <v>109</v>
      </c>
      <c r="J25" s="10" t="s">
        <v>272</v>
      </c>
      <c r="K25" s="46">
        <v>30</v>
      </c>
      <c r="L25" s="10" t="s">
        <v>266</v>
      </c>
      <c r="M25" s="10" t="s">
        <v>22</v>
      </c>
    </row>
    <row r="26" spans="2:13" x14ac:dyDescent="0.25">
      <c r="B26" s="10" t="s">
        <v>204</v>
      </c>
      <c r="C26" s="10" t="s">
        <v>227</v>
      </c>
      <c r="D26" s="46">
        <v>1</v>
      </c>
      <c r="E26" s="46">
        <v>1</v>
      </c>
      <c r="F26" s="47">
        <v>0</v>
      </c>
      <c r="G26" s="47">
        <v>0</v>
      </c>
      <c r="H26" s="47">
        <v>0</v>
      </c>
      <c r="I26" s="10" t="s">
        <v>205</v>
      </c>
      <c r="J26" s="10" t="s">
        <v>205</v>
      </c>
      <c r="K26" s="46">
        <v>31</v>
      </c>
      <c r="L26" s="10" t="s">
        <v>266</v>
      </c>
      <c r="M26" s="10" t="s">
        <v>22</v>
      </c>
    </row>
    <row r="27" spans="2:13" x14ac:dyDescent="0.25">
      <c r="B27" s="10" t="s">
        <v>120</v>
      </c>
      <c r="C27" s="10" t="s">
        <v>227</v>
      </c>
      <c r="D27" s="46">
        <v>4</v>
      </c>
      <c r="E27" s="46">
        <v>7</v>
      </c>
      <c r="F27" s="47">
        <v>6080</v>
      </c>
      <c r="G27" s="47">
        <v>4880</v>
      </c>
      <c r="H27" s="47">
        <v>1200</v>
      </c>
      <c r="I27" s="10" t="s">
        <v>71</v>
      </c>
      <c r="J27" s="10" t="s">
        <v>267</v>
      </c>
      <c r="K27" s="46">
        <v>35</v>
      </c>
      <c r="L27" s="10" t="s">
        <v>266</v>
      </c>
      <c r="M27" s="10" t="s">
        <v>22</v>
      </c>
    </row>
    <row r="28" spans="2:13" x14ac:dyDescent="0.25">
      <c r="B28" s="10" t="s">
        <v>117</v>
      </c>
      <c r="C28" s="10" t="s">
        <v>241</v>
      </c>
      <c r="D28" s="46">
        <v>5</v>
      </c>
      <c r="E28" s="46">
        <v>13</v>
      </c>
      <c r="F28" s="47">
        <v>6075</v>
      </c>
      <c r="G28" s="47">
        <v>5475</v>
      </c>
      <c r="H28" s="47">
        <v>600</v>
      </c>
      <c r="I28" s="10" t="s">
        <v>71</v>
      </c>
      <c r="J28" s="10" t="s">
        <v>189</v>
      </c>
      <c r="K28" s="46">
        <v>35</v>
      </c>
      <c r="L28" s="10" t="s">
        <v>266</v>
      </c>
      <c r="M28" s="10" t="s">
        <v>22</v>
      </c>
    </row>
    <row r="29" spans="2:13" x14ac:dyDescent="0.25">
      <c r="B29" s="10" t="s">
        <v>207</v>
      </c>
      <c r="C29" s="10" t="s">
        <v>271</v>
      </c>
      <c r="D29" s="46">
        <v>1</v>
      </c>
      <c r="E29" s="46">
        <v>1</v>
      </c>
      <c r="F29" s="47">
        <v>0</v>
      </c>
      <c r="G29" s="47">
        <v>0</v>
      </c>
      <c r="H29" s="47">
        <v>0</v>
      </c>
      <c r="I29" s="10" t="s">
        <v>80</v>
      </c>
      <c r="J29" s="10" t="s">
        <v>80</v>
      </c>
      <c r="K29" s="46">
        <v>37</v>
      </c>
      <c r="L29" s="10" t="s">
        <v>266</v>
      </c>
      <c r="M29" s="10" t="s">
        <v>22</v>
      </c>
    </row>
    <row r="30" spans="2:13" x14ac:dyDescent="0.25">
      <c r="B30" s="10" t="s">
        <v>143</v>
      </c>
      <c r="C30" s="10" t="s">
        <v>227</v>
      </c>
      <c r="D30" s="46">
        <v>4</v>
      </c>
      <c r="E30" s="46">
        <v>5</v>
      </c>
      <c r="F30" s="47">
        <v>2500</v>
      </c>
      <c r="G30" s="47">
        <v>2500</v>
      </c>
      <c r="H30" s="47">
        <v>0</v>
      </c>
      <c r="I30" s="10" t="s">
        <v>61</v>
      </c>
      <c r="J30" s="10" t="s">
        <v>125</v>
      </c>
      <c r="K30" s="46">
        <v>41</v>
      </c>
      <c r="L30" s="10" t="s">
        <v>266</v>
      </c>
      <c r="M30" s="10" t="s">
        <v>22</v>
      </c>
    </row>
    <row r="31" spans="2:13" x14ac:dyDescent="0.25">
      <c r="B31" s="10" t="s">
        <v>60</v>
      </c>
      <c r="C31" s="10" t="s">
        <v>226</v>
      </c>
      <c r="D31" s="46">
        <v>8</v>
      </c>
      <c r="E31" s="46">
        <v>64</v>
      </c>
      <c r="F31" s="47">
        <v>38630</v>
      </c>
      <c r="G31" s="47">
        <v>38630</v>
      </c>
      <c r="H31" s="47">
        <v>0</v>
      </c>
      <c r="I31" s="10" t="s">
        <v>61</v>
      </c>
      <c r="J31" s="10" t="s">
        <v>151</v>
      </c>
      <c r="K31" s="46">
        <v>41</v>
      </c>
      <c r="L31" s="10" t="s">
        <v>266</v>
      </c>
      <c r="M31" s="10" t="s">
        <v>22</v>
      </c>
    </row>
    <row r="32" spans="2:13" x14ac:dyDescent="0.25">
      <c r="B32" s="10" t="s">
        <v>88</v>
      </c>
      <c r="C32" s="10" t="s">
        <v>233</v>
      </c>
      <c r="D32" s="46">
        <v>8</v>
      </c>
      <c r="E32" s="46">
        <v>22</v>
      </c>
      <c r="F32" s="47">
        <v>10800</v>
      </c>
      <c r="G32" s="47">
        <v>10800</v>
      </c>
      <c r="H32" s="47">
        <v>0</v>
      </c>
      <c r="I32" s="10" t="s">
        <v>89</v>
      </c>
      <c r="J32" s="10" t="s">
        <v>234</v>
      </c>
      <c r="K32" s="46">
        <v>48</v>
      </c>
      <c r="L32" s="10" t="s">
        <v>266</v>
      </c>
      <c r="M32" s="10" t="s">
        <v>22</v>
      </c>
    </row>
    <row r="33" spans="2:13" x14ac:dyDescent="0.25">
      <c r="B33" s="10" t="s">
        <v>78</v>
      </c>
      <c r="C33" s="10" t="s">
        <v>227</v>
      </c>
      <c r="D33" s="46">
        <v>6</v>
      </c>
      <c r="E33" s="46">
        <v>24</v>
      </c>
      <c r="F33" s="47">
        <v>12700</v>
      </c>
      <c r="G33" s="47">
        <v>12700</v>
      </c>
      <c r="H33" s="47">
        <v>0</v>
      </c>
      <c r="I33" s="10" t="s">
        <v>79</v>
      </c>
      <c r="J33" s="10" t="s">
        <v>151</v>
      </c>
      <c r="K33" s="46">
        <v>50</v>
      </c>
      <c r="L33" s="10" t="s">
        <v>266</v>
      </c>
      <c r="M33" s="10" t="s">
        <v>22</v>
      </c>
    </row>
    <row r="34" spans="2:13" x14ac:dyDescent="0.25">
      <c r="B34" s="10" t="s">
        <v>100</v>
      </c>
      <c r="C34" s="10" t="s">
        <v>227</v>
      </c>
      <c r="D34" s="46">
        <v>4</v>
      </c>
      <c r="E34" s="46">
        <v>18</v>
      </c>
      <c r="F34" s="47">
        <v>9600</v>
      </c>
      <c r="G34" s="47">
        <v>9600</v>
      </c>
      <c r="H34" s="47">
        <v>0</v>
      </c>
      <c r="I34" s="10" t="s">
        <v>101</v>
      </c>
      <c r="J34" s="10" t="s">
        <v>95</v>
      </c>
      <c r="K34" s="46">
        <v>51</v>
      </c>
      <c r="L34" s="10" t="s">
        <v>266</v>
      </c>
      <c r="M34" s="10" t="s">
        <v>22</v>
      </c>
    </row>
    <row r="35" spans="2:13" x14ac:dyDescent="0.25">
      <c r="B35" s="10" t="s">
        <v>209</v>
      </c>
      <c r="C35" s="10" t="s">
        <v>233</v>
      </c>
      <c r="D35" s="46">
        <v>2</v>
      </c>
      <c r="E35" s="46">
        <v>2</v>
      </c>
      <c r="F35" s="47">
        <v>0</v>
      </c>
      <c r="G35" s="47">
        <v>0</v>
      </c>
      <c r="H35" s="47">
        <v>0</v>
      </c>
      <c r="I35" s="10" t="s">
        <v>99</v>
      </c>
      <c r="J35" s="10" t="s">
        <v>116</v>
      </c>
      <c r="K35" s="46">
        <v>52</v>
      </c>
      <c r="L35" s="10" t="s">
        <v>266</v>
      </c>
      <c r="M35" s="10" t="s">
        <v>22</v>
      </c>
    </row>
    <row r="36" spans="2:13" x14ac:dyDescent="0.25">
      <c r="B36" s="10" t="s">
        <v>66</v>
      </c>
      <c r="C36" s="10" t="s">
        <v>227</v>
      </c>
      <c r="D36" s="46">
        <v>6</v>
      </c>
      <c r="E36" s="46">
        <v>43</v>
      </c>
      <c r="F36" s="47">
        <v>25050</v>
      </c>
      <c r="G36" s="47">
        <v>25050</v>
      </c>
      <c r="H36" s="47">
        <v>0</v>
      </c>
      <c r="I36" s="10" t="s">
        <v>99</v>
      </c>
      <c r="J36" s="10" t="s">
        <v>151</v>
      </c>
      <c r="K36" s="46">
        <v>52</v>
      </c>
      <c r="L36" s="10" t="s">
        <v>266</v>
      </c>
      <c r="M36" s="10" t="s">
        <v>22</v>
      </c>
    </row>
    <row r="37" spans="2:13" x14ac:dyDescent="0.25">
      <c r="B37" s="10" t="s">
        <v>122</v>
      </c>
      <c r="C37" s="10" t="s">
        <v>227</v>
      </c>
      <c r="D37" s="46">
        <v>3</v>
      </c>
      <c r="E37" s="46">
        <v>12</v>
      </c>
      <c r="F37" s="47">
        <v>5500</v>
      </c>
      <c r="G37" s="47">
        <v>5500</v>
      </c>
      <c r="H37" s="47">
        <v>0</v>
      </c>
      <c r="I37" s="10" t="s">
        <v>99</v>
      </c>
      <c r="J37" s="10" t="s">
        <v>273</v>
      </c>
      <c r="K37" s="46">
        <v>52</v>
      </c>
      <c r="L37" s="10" t="s">
        <v>266</v>
      </c>
      <c r="M37" s="10" t="s">
        <v>22</v>
      </c>
    </row>
    <row r="38" spans="2:13" x14ac:dyDescent="0.25">
      <c r="B38" s="10" t="s">
        <v>173</v>
      </c>
      <c r="C38" s="10" t="s">
        <v>274</v>
      </c>
      <c r="D38" s="46">
        <v>1</v>
      </c>
      <c r="E38" s="46">
        <v>1</v>
      </c>
      <c r="F38" s="47">
        <v>600</v>
      </c>
      <c r="G38" s="47">
        <v>600</v>
      </c>
      <c r="H38" s="47">
        <v>0</v>
      </c>
      <c r="I38" s="10" t="s">
        <v>116</v>
      </c>
      <c r="J38" s="10" t="s">
        <v>116</v>
      </c>
      <c r="K38" s="46">
        <v>57</v>
      </c>
      <c r="L38" s="10" t="s">
        <v>266</v>
      </c>
      <c r="M38" s="10" t="s">
        <v>22</v>
      </c>
    </row>
    <row r="39" spans="2:13" x14ac:dyDescent="0.25">
      <c r="B39" s="10" t="s">
        <v>174</v>
      </c>
      <c r="C39" s="10" t="s">
        <v>227</v>
      </c>
      <c r="D39" s="46">
        <v>1</v>
      </c>
      <c r="E39" s="46">
        <v>1</v>
      </c>
      <c r="F39" s="47">
        <v>600</v>
      </c>
      <c r="G39" s="47">
        <v>600</v>
      </c>
      <c r="H39" s="47">
        <v>0</v>
      </c>
      <c r="I39" s="10" t="s">
        <v>135</v>
      </c>
      <c r="J39" s="10" t="s">
        <v>135</v>
      </c>
      <c r="K39" s="46">
        <v>58</v>
      </c>
      <c r="L39" s="10" t="s">
        <v>266</v>
      </c>
      <c r="M39" s="10" t="s">
        <v>22</v>
      </c>
    </row>
    <row r="40" spans="2:13" x14ac:dyDescent="0.25">
      <c r="B40" s="10" t="s">
        <v>136</v>
      </c>
      <c r="C40" s="10" t="s">
        <v>227</v>
      </c>
      <c r="D40" s="46">
        <v>2</v>
      </c>
      <c r="E40" s="46">
        <v>10</v>
      </c>
      <c r="F40" s="47">
        <v>4800</v>
      </c>
      <c r="G40" s="47">
        <v>4800</v>
      </c>
      <c r="H40" s="47">
        <v>0</v>
      </c>
      <c r="I40" s="10" t="s">
        <v>106</v>
      </c>
      <c r="J40" s="10" t="s">
        <v>106</v>
      </c>
      <c r="K40" s="46">
        <v>59</v>
      </c>
      <c r="L40" s="10" t="s">
        <v>266</v>
      </c>
      <c r="M40" s="10" t="s">
        <v>22</v>
      </c>
    </row>
    <row r="41" spans="2:13" x14ac:dyDescent="0.25">
      <c r="B41" s="10" t="s">
        <v>138</v>
      </c>
      <c r="C41" s="10" t="s">
        <v>227</v>
      </c>
      <c r="D41" s="46">
        <v>2</v>
      </c>
      <c r="E41" s="46">
        <v>10</v>
      </c>
      <c r="F41" s="47">
        <v>4800</v>
      </c>
      <c r="G41" s="47">
        <v>4800</v>
      </c>
      <c r="H41" s="47">
        <v>0</v>
      </c>
      <c r="I41" s="10" t="s">
        <v>106</v>
      </c>
      <c r="J41" s="10" t="s">
        <v>106</v>
      </c>
      <c r="K41" s="46">
        <v>59</v>
      </c>
      <c r="L41" s="10" t="s">
        <v>266</v>
      </c>
      <c r="M41" s="10" t="s">
        <v>22</v>
      </c>
    </row>
    <row r="42" spans="2:13" x14ac:dyDescent="0.25">
      <c r="B42" s="10" t="s">
        <v>105</v>
      </c>
      <c r="C42" s="10" t="s">
        <v>233</v>
      </c>
      <c r="D42" s="46">
        <v>6</v>
      </c>
      <c r="E42" s="46">
        <v>12</v>
      </c>
      <c r="F42" s="47">
        <v>7350</v>
      </c>
      <c r="G42" s="47">
        <v>7350</v>
      </c>
      <c r="H42" s="47">
        <v>0</v>
      </c>
      <c r="I42" s="10" t="s">
        <v>106</v>
      </c>
      <c r="J42" s="10" t="s">
        <v>125</v>
      </c>
      <c r="K42" s="46">
        <v>59</v>
      </c>
      <c r="L42" s="10" t="s">
        <v>266</v>
      </c>
      <c r="M42" s="10" t="s">
        <v>22</v>
      </c>
    </row>
    <row r="43" spans="2:13" x14ac:dyDescent="0.25">
      <c r="B43" s="10" t="s">
        <v>163</v>
      </c>
      <c r="C43" s="10" t="s">
        <v>242</v>
      </c>
      <c r="D43" s="46">
        <v>1</v>
      </c>
      <c r="E43" s="46">
        <v>2</v>
      </c>
      <c r="F43" s="47">
        <v>1200</v>
      </c>
      <c r="G43" s="47">
        <v>1200</v>
      </c>
      <c r="H43" s="47">
        <v>0</v>
      </c>
      <c r="I43" s="10" t="s">
        <v>154</v>
      </c>
      <c r="J43" s="10" t="s">
        <v>154</v>
      </c>
      <c r="K43" s="46">
        <v>71</v>
      </c>
      <c r="L43" s="10" t="s">
        <v>266</v>
      </c>
      <c r="M43" s="10" t="s">
        <v>22</v>
      </c>
    </row>
    <row r="44" spans="2:13" x14ac:dyDescent="0.25">
      <c r="B44" s="10" t="s">
        <v>153</v>
      </c>
      <c r="C44" s="10" t="s">
        <v>227</v>
      </c>
      <c r="D44" s="46">
        <v>5</v>
      </c>
      <c r="E44" s="46">
        <v>10</v>
      </c>
      <c r="F44" s="47">
        <v>1800</v>
      </c>
      <c r="G44" s="47">
        <v>1800</v>
      </c>
      <c r="H44" s="47">
        <v>0</v>
      </c>
      <c r="I44" s="10" t="s">
        <v>154</v>
      </c>
      <c r="J44" s="10" t="s">
        <v>189</v>
      </c>
      <c r="K44" s="46">
        <v>71</v>
      </c>
      <c r="L44" s="10" t="s">
        <v>266</v>
      </c>
      <c r="M44" s="10" t="s">
        <v>22</v>
      </c>
    </row>
    <row r="45" spans="2:13" x14ac:dyDescent="0.25">
      <c r="B45" s="10" t="s">
        <v>213</v>
      </c>
      <c r="C45" s="10" t="s">
        <v>275</v>
      </c>
      <c r="D45" s="46">
        <v>1</v>
      </c>
      <c r="E45" s="46">
        <v>2</v>
      </c>
      <c r="F45" s="47">
        <v>0</v>
      </c>
      <c r="G45" s="47">
        <v>0</v>
      </c>
      <c r="H45" s="47">
        <v>0</v>
      </c>
      <c r="I45" s="10" t="s">
        <v>214</v>
      </c>
      <c r="J45" s="10" t="s">
        <v>214</v>
      </c>
      <c r="K45" s="46">
        <v>73</v>
      </c>
      <c r="L45" s="10" t="s">
        <v>266</v>
      </c>
      <c r="M45" s="10" t="s">
        <v>22</v>
      </c>
    </row>
    <row r="46" spans="2:13" x14ac:dyDescent="0.25">
      <c r="B46" s="10" t="s">
        <v>175</v>
      </c>
      <c r="C46" s="10" t="s">
        <v>227</v>
      </c>
      <c r="D46" s="46">
        <v>1</v>
      </c>
      <c r="E46" s="46">
        <v>1</v>
      </c>
      <c r="F46" s="47">
        <v>600</v>
      </c>
      <c r="G46" s="47">
        <v>600</v>
      </c>
      <c r="H46" s="47">
        <v>0</v>
      </c>
      <c r="I46" s="10" t="s">
        <v>176</v>
      </c>
      <c r="J46" s="10" t="s">
        <v>176</v>
      </c>
      <c r="K46" s="46">
        <v>85</v>
      </c>
      <c r="L46" s="10" t="s">
        <v>266</v>
      </c>
      <c r="M46" s="10" t="s">
        <v>22</v>
      </c>
    </row>
    <row r="47" spans="2:13" x14ac:dyDescent="0.25">
      <c r="B47" s="10" t="s">
        <v>94</v>
      </c>
      <c r="C47" s="10" t="s">
        <v>227</v>
      </c>
      <c r="D47" s="46">
        <v>3</v>
      </c>
      <c r="E47" s="46">
        <v>18</v>
      </c>
      <c r="F47" s="47">
        <v>9800</v>
      </c>
      <c r="G47" s="47">
        <v>9800</v>
      </c>
      <c r="H47" s="47">
        <v>0</v>
      </c>
      <c r="I47" s="10" t="s">
        <v>95</v>
      </c>
      <c r="J47" s="10" t="s">
        <v>236</v>
      </c>
      <c r="K47" s="46">
        <v>140</v>
      </c>
      <c r="L47" s="10" t="s">
        <v>276</v>
      </c>
      <c r="M47" s="10" t="s">
        <v>22</v>
      </c>
    </row>
    <row r="48" spans="2:13" x14ac:dyDescent="0.25">
      <c r="B48" s="10" t="s">
        <v>187</v>
      </c>
      <c r="C48" s="10" t="s">
        <v>233</v>
      </c>
      <c r="D48" s="46">
        <v>1</v>
      </c>
      <c r="E48" s="46">
        <v>1</v>
      </c>
      <c r="F48" s="47">
        <v>600</v>
      </c>
      <c r="G48" s="47">
        <v>600</v>
      </c>
      <c r="H48" s="47">
        <v>0</v>
      </c>
      <c r="I48" s="10" t="s">
        <v>188</v>
      </c>
      <c r="J48" s="10" t="s">
        <v>188</v>
      </c>
      <c r="K48" s="46">
        <v>156</v>
      </c>
      <c r="L48" s="10" t="s">
        <v>276</v>
      </c>
      <c r="M48" s="10" t="s">
        <v>22</v>
      </c>
    </row>
    <row r="49" spans="2:13" x14ac:dyDescent="0.25">
      <c r="B49" s="10" t="s">
        <v>190</v>
      </c>
      <c r="C49" s="10" t="s">
        <v>249</v>
      </c>
      <c r="D49" s="46">
        <v>1</v>
      </c>
      <c r="E49" s="46">
        <v>1</v>
      </c>
      <c r="F49" s="47">
        <v>600</v>
      </c>
      <c r="G49" s="47">
        <v>600</v>
      </c>
      <c r="H49" s="47">
        <v>0</v>
      </c>
      <c r="I49" s="10" t="s">
        <v>191</v>
      </c>
      <c r="J49" s="10" t="s">
        <v>191</v>
      </c>
      <c r="K49" s="46">
        <v>163</v>
      </c>
      <c r="L49" s="10" t="s">
        <v>276</v>
      </c>
      <c r="M49" s="10" t="s">
        <v>22</v>
      </c>
    </row>
    <row r="50" spans="2:13" x14ac:dyDescent="0.25">
      <c r="B50" s="10" t="s">
        <v>193</v>
      </c>
      <c r="C50" s="10" t="s">
        <v>242</v>
      </c>
      <c r="D50" s="46">
        <v>1</v>
      </c>
      <c r="E50" s="46">
        <v>1</v>
      </c>
      <c r="F50" s="47">
        <v>600</v>
      </c>
      <c r="G50" s="47">
        <v>0</v>
      </c>
      <c r="H50" s="47">
        <v>600</v>
      </c>
      <c r="I50" s="10" t="s">
        <v>127</v>
      </c>
      <c r="J50" s="10" t="s">
        <v>127</v>
      </c>
      <c r="K50" s="46">
        <v>169</v>
      </c>
      <c r="L50" s="10" t="s">
        <v>276</v>
      </c>
      <c r="M50" s="10" t="s">
        <v>22</v>
      </c>
    </row>
    <row r="51" spans="2:13" x14ac:dyDescent="0.25">
      <c r="B51" s="10" t="s">
        <v>167</v>
      </c>
      <c r="C51" s="10" t="s">
        <v>227</v>
      </c>
      <c r="D51" s="46">
        <v>2</v>
      </c>
      <c r="E51" s="46">
        <v>2</v>
      </c>
      <c r="F51" s="47">
        <v>700</v>
      </c>
      <c r="G51" s="47">
        <v>700</v>
      </c>
      <c r="H51" s="47">
        <v>0</v>
      </c>
      <c r="I51" s="10" t="s">
        <v>148</v>
      </c>
      <c r="J51" s="10" t="s">
        <v>277</v>
      </c>
      <c r="K51" s="46">
        <v>176</v>
      </c>
      <c r="L51" s="10" t="s">
        <v>276</v>
      </c>
      <c r="M51" s="10" t="s">
        <v>22</v>
      </c>
    </row>
    <row r="52" spans="2:13" x14ac:dyDescent="0.25">
      <c r="B52" s="10" t="s">
        <v>123</v>
      </c>
      <c r="C52" s="10" t="s">
        <v>233</v>
      </c>
      <c r="D52" s="46">
        <v>2</v>
      </c>
      <c r="E52" s="46">
        <v>10</v>
      </c>
      <c r="F52" s="47">
        <v>5500</v>
      </c>
      <c r="G52" s="47">
        <v>5500</v>
      </c>
      <c r="H52" s="47">
        <v>0</v>
      </c>
      <c r="I52" s="10" t="s">
        <v>124</v>
      </c>
      <c r="J52" s="10" t="s">
        <v>124</v>
      </c>
      <c r="K52" s="46">
        <v>198</v>
      </c>
      <c r="L52" s="10" t="s">
        <v>276</v>
      </c>
      <c r="M52" s="10" t="s">
        <v>22</v>
      </c>
    </row>
    <row r="53" spans="2:13" x14ac:dyDescent="0.25">
      <c r="B53" s="10" t="s">
        <v>194</v>
      </c>
      <c r="C53" s="10" t="s">
        <v>242</v>
      </c>
      <c r="D53" s="46">
        <v>1</v>
      </c>
      <c r="E53" s="46">
        <v>1</v>
      </c>
      <c r="F53" s="47">
        <v>350</v>
      </c>
      <c r="G53" s="47">
        <v>350</v>
      </c>
      <c r="H53" s="47">
        <v>0</v>
      </c>
      <c r="I53" s="10" t="s">
        <v>195</v>
      </c>
      <c r="J53" s="10" t="s">
        <v>195</v>
      </c>
      <c r="K53" s="46">
        <v>203</v>
      </c>
      <c r="L53" s="10" t="s">
        <v>276</v>
      </c>
      <c r="M53" s="10" t="s">
        <v>22</v>
      </c>
    </row>
    <row r="54" spans="2:13" x14ac:dyDescent="0.25">
      <c r="B54" s="10" t="s">
        <v>197</v>
      </c>
      <c r="C54" s="10" t="s">
        <v>227</v>
      </c>
      <c r="D54" s="46">
        <v>1</v>
      </c>
      <c r="E54" s="46">
        <v>1</v>
      </c>
      <c r="F54" s="47">
        <v>350</v>
      </c>
      <c r="G54" s="47">
        <v>350</v>
      </c>
      <c r="H54" s="47">
        <v>0</v>
      </c>
      <c r="I54" s="10" t="s">
        <v>198</v>
      </c>
      <c r="J54" s="10" t="s">
        <v>198</v>
      </c>
      <c r="K54" s="46">
        <v>212</v>
      </c>
      <c r="L54" s="10" t="s">
        <v>276</v>
      </c>
      <c r="M54" s="10" t="s">
        <v>22</v>
      </c>
    </row>
    <row r="55" spans="2:13" x14ac:dyDescent="0.25">
      <c r="B55" s="10" t="s">
        <v>278</v>
      </c>
      <c r="C55" s="10" t="s">
        <v>274</v>
      </c>
      <c r="D55" s="46">
        <v>0</v>
      </c>
      <c r="E55" s="46">
        <v>0</v>
      </c>
      <c r="F55" s="47">
        <v>0</v>
      </c>
      <c r="G55" s="47">
        <v>0</v>
      </c>
      <c r="H55" s="47">
        <v>0</v>
      </c>
      <c r="I55" s="10"/>
      <c r="J55" s="10"/>
      <c r="K55" s="46">
        <v>0</v>
      </c>
      <c r="L55" s="10" t="s">
        <v>279</v>
      </c>
      <c r="M55" s="10" t="s">
        <v>22</v>
      </c>
    </row>
    <row r="56" spans="2:13" x14ac:dyDescent="0.25">
      <c r="B56" s="10" t="s">
        <v>280</v>
      </c>
      <c r="C56" s="10" t="s">
        <v>271</v>
      </c>
      <c r="D56" s="46">
        <v>0</v>
      </c>
      <c r="E56" s="46">
        <v>0</v>
      </c>
      <c r="F56" s="47">
        <v>0</v>
      </c>
      <c r="G56" s="47">
        <v>0</v>
      </c>
      <c r="H56" s="47">
        <v>0</v>
      </c>
      <c r="I56" s="10"/>
      <c r="J56" s="10"/>
      <c r="K56" s="46">
        <v>0</v>
      </c>
      <c r="L56" s="10" t="s">
        <v>279</v>
      </c>
      <c r="M56" s="10" t="s">
        <v>22</v>
      </c>
    </row>
    <row r="57" spans="2:13" x14ac:dyDescent="0.25">
      <c r="B57" s="10" t="s">
        <v>281</v>
      </c>
      <c r="C57" s="10" t="s">
        <v>282</v>
      </c>
      <c r="D57" s="46">
        <v>0</v>
      </c>
      <c r="E57" s="46">
        <v>0</v>
      </c>
      <c r="F57" s="47">
        <v>0</v>
      </c>
      <c r="G57" s="47">
        <v>0</v>
      </c>
      <c r="H57" s="47">
        <v>0</v>
      </c>
      <c r="I57" s="10"/>
      <c r="J57" s="10"/>
      <c r="K57" s="46">
        <v>0</v>
      </c>
      <c r="L57" s="10" t="s">
        <v>279</v>
      </c>
      <c r="M57" s="10" t="s">
        <v>22</v>
      </c>
    </row>
    <row r="58" spans="2:13" x14ac:dyDescent="0.25">
      <c r="B58" s="10" t="s">
        <v>283</v>
      </c>
      <c r="C58" s="10" t="s">
        <v>226</v>
      </c>
      <c r="D58" s="46">
        <v>0</v>
      </c>
      <c r="E58" s="46">
        <v>0</v>
      </c>
      <c r="F58" s="47">
        <v>0</v>
      </c>
      <c r="G58" s="47">
        <v>0</v>
      </c>
      <c r="H58" s="47">
        <v>0</v>
      </c>
      <c r="I58" s="10"/>
      <c r="J58" s="10"/>
      <c r="K58" s="46">
        <v>0</v>
      </c>
      <c r="L58" s="10" t="s">
        <v>279</v>
      </c>
      <c r="M58" s="10" t="s">
        <v>22</v>
      </c>
    </row>
    <row r="59" spans="2:13" x14ac:dyDescent="0.25">
      <c r="B59" s="10" t="s">
        <v>284</v>
      </c>
      <c r="C59" s="10" t="s">
        <v>246</v>
      </c>
      <c r="D59" s="46">
        <v>0</v>
      </c>
      <c r="E59" s="46">
        <v>0</v>
      </c>
      <c r="F59" s="47">
        <v>0</v>
      </c>
      <c r="G59" s="47">
        <v>0</v>
      </c>
      <c r="H59" s="47">
        <v>0</v>
      </c>
      <c r="I59" s="10"/>
      <c r="J59" s="10"/>
      <c r="K59" s="46">
        <v>0</v>
      </c>
      <c r="L59" s="10" t="s">
        <v>279</v>
      </c>
      <c r="M59" s="10" t="s">
        <v>22</v>
      </c>
    </row>
    <row r="60" spans="2:13" x14ac:dyDescent="0.25">
      <c r="B60" s="10" t="s">
        <v>285</v>
      </c>
      <c r="C60" s="10" t="s">
        <v>227</v>
      </c>
      <c r="D60" s="46">
        <v>0</v>
      </c>
      <c r="E60" s="46">
        <v>0</v>
      </c>
      <c r="F60" s="47">
        <v>0</v>
      </c>
      <c r="G60" s="47">
        <v>0</v>
      </c>
      <c r="H60" s="47">
        <v>0</v>
      </c>
      <c r="I60" s="10"/>
      <c r="J60" s="10"/>
      <c r="K60" s="46">
        <v>0</v>
      </c>
      <c r="L60" s="10" t="s">
        <v>279</v>
      </c>
      <c r="M60" s="10" t="s">
        <v>22</v>
      </c>
    </row>
    <row r="61" spans="2:13" x14ac:dyDescent="0.25">
      <c r="B61" s="10" t="s">
        <v>286</v>
      </c>
      <c r="C61" s="10" t="s">
        <v>249</v>
      </c>
      <c r="D61" s="46">
        <v>0</v>
      </c>
      <c r="E61" s="46">
        <v>0</v>
      </c>
      <c r="F61" s="47">
        <v>0</v>
      </c>
      <c r="G61" s="47">
        <v>0</v>
      </c>
      <c r="H61" s="47">
        <v>0</v>
      </c>
      <c r="I61" s="10"/>
      <c r="J61" s="10"/>
      <c r="K61" s="46">
        <v>0</v>
      </c>
      <c r="L61" s="10" t="s">
        <v>279</v>
      </c>
      <c r="M61" s="10" t="s">
        <v>22</v>
      </c>
    </row>
    <row r="62" spans="2:13" x14ac:dyDescent="0.25">
      <c r="B62" s="10" t="s">
        <v>287</v>
      </c>
      <c r="C62" s="10" t="s">
        <v>274</v>
      </c>
      <c r="D62" s="46">
        <v>0</v>
      </c>
      <c r="E62" s="46">
        <v>0</v>
      </c>
      <c r="F62" s="47">
        <v>0</v>
      </c>
      <c r="G62" s="47">
        <v>0</v>
      </c>
      <c r="H62" s="47">
        <v>0</v>
      </c>
      <c r="I62" s="10"/>
      <c r="J62" s="10"/>
      <c r="K62" s="46">
        <v>0</v>
      </c>
      <c r="L62" s="10" t="s">
        <v>279</v>
      </c>
      <c r="M62" s="10" t="s">
        <v>22</v>
      </c>
    </row>
    <row r="63" spans="2:13" x14ac:dyDescent="0.25">
      <c r="B63" s="10" t="s">
        <v>288</v>
      </c>
      <c r="C63" s="10" t="s">
        <v>233</v>
      </c>
      <c r="D63" s="46">
        <v>0</v>
      </c>
      <c r="E63" s="46">
        <v>0</v>
      </c>
      <c r="F63" s="47">
        <v>0</v>
      </c>
      <c r="G63" s="47">
        <v>0</v>
      </c>
      <c r="H63" s="47">
        <v>0</v>
      </c>
      <c r="I63" s="10"/>
      <c r="J63" s="10"/>
      <c r="K63" s="46">
        <v>0</v>
      </c>
      <c r="L63" s="10" t="s">
        <v>279</v>
      </c>
      <c r="M63" s="10" t="s">
        <v>22</v>
      </c>
    </row>
    <row r="64" spans="2:13" x14ac:dyDescent="0.25">
      <c r="B64" s="10" t="s">
        <v>289</v>
      </c>
      <c r="C64" s="10" t="s">
        <v>233</v>
      </c>
      <c r="D64" s="46">
        <v>0</v>
      </c>
      <c r="E64" s="46">
        <v>0</v>
      </c>
      <c r="F64" s="47">
        <v>0</v>
      </c>
      <c r="G64" s="47">
        <v>0</v>
      </c>
      <c r="H64" s="47">
        <v>0</v>
      </c>
      <c r="I64" s="10"/>
      <c r="J64" s="10"/>
      <c r="K64" s="46">
        <v>0</v>
      </c>
      <c r="L64" s="10" t="s">
        <v>279</v>
      </c>
      <c r="M64" s="10" t="s">
        <v>22</v>
      </c>
    </row>
  </sheetData>
  <mergeCells count="19">
    <mergeCell ref="B2:H2"/>
    <mergeCell ref="B5:C5"/>
    <mergeCell ref="D5:E5"/>
    <mergeCell ref="F5:G5"/>
    <mergeCell ref="H5:I5"/>
    <mergeCell ref="B6:C7"/>
    <mergeCell ref="D6:E7"/>
    <mergeCell ref="F6:G7"/>
    <mergeCell ref="H6:I7"/>
    <mergeCell ref="B8:C8"/>
    <mergeCell ref="D8:E8"/>
    <mergeCell ref="F8:G8"/>
    <mergeCell ref="H8:I8"/>
    <mergeCell ref="J8:K8"/>
    <mergeCell ref="B9:C10"/>
    <mergeCell ref="D9:E10"/>
    <mergeCell ref="F9:G10"/>
    <mergeCell ref="H9:I10"/>
    <mergeCell ref="J9:K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3"/>
  <sheetFormatPr defaultRowHeight="15" outlineLevelRow="0" outlineLevelCol="0" x14ac:dyDescent="55"/>
  <cols>
    <col min="1" max="1" width="3" customWidth="1"/>
    <col min="2" max="2" width="34" customWidth="1"/>
    <col min="3" max="3" width="8" customWidth="1"/>
    <col min="4" max="5" width="10" customWidth="1"/>
    <col min="6" max="7" width="14" customWidth="1"/>
    <col min="8" max="8" width="16" customWidth="1"/>
    <col min="9" max="10" width="14" customWidth="1"/>
    <col min="11" max="11" width="8" customWidth="1"/>
    <col min="12" max="12" width="12" customWidth="1"/>
    <col min="13" max="13" width="8" customWidth="1"/>
  </cols>
  <sheetData>
    <row r="2" ht="32" customHeight="1" spans="2:8" x14ac:dyDescent="0.25">
      <c r="B2" s="45" t="s">
        <v>290</v>
      </c>
      <c r="C2" s="45"/>
      <c r="D2" s="45"/>
      <c r="E2" s="45"/>
      <c r="F2" s="45"/>
      <c r="G2" s="45"/>
      <c r="H2" s="45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>
        <v>39450</v>
      </c>
      <c r="C6" s="4"/>
      <c r="D6" s="4">
        <v>43550</v>
      </c>
      <c r="E6" s="4"/>
      <c r="F6" s="4">
        <v>38269</v>
      </c>
      <c r="G6" s="4"/>
      <c r="H6" s="5">
        <v>0.9700633713561471</v>
      </c>
      <c r="I6" s="5"/>
    </row>
    <row r="7" spans="2:9" x14ac:dyDescent="0.25">
      <c r="B7" s="4"/>
      <c r="C7" s="4"/>
      <c r="D7" s="4"/>
      <c r="E7" s="4"/>
      <c r="F7" s="4"/>
      <c r="G7" s="4"/>
      <c r="H7" s="5"/>
      <c r="I7" s="5"/>
    </row>
    <row r="8" spans="2:11" x14ac:dyDescent="0.25">
      <c r="B8" s="3" t="s">
        <v>6</v>
      </c>
      <c r="C8" s="3"/>
      <c r="D8" s="3" t="s">
        <v>7</v>
      </c>
      <c r="E8" s="3"/>
      <c r="F8" s="3" t="s">
        <v>8</v>
      </c>
      <c r="G8" s="3"/>
      <c r="H8" s="3" t="s">
        <v>28</v>
      </c>
      <c r="I8" s="3"/>
      <c r="J8" s="3" t="s">
        <v>9</v>
      </c>
      <c r="K8" s="3"/>
    </row>
    <row r="9" spans="2:11" x14ac:dyDescent="0.25">
      <c r="B9" s="4">
        <v>146625</v>
      </c>
      <c r="C9" s="4"/>
      <c r="D9" s="4">
        <v>127250</v>
      </c>
      <c r="E9" s="4"/>
      <c r="F9" s="6">
        <v>21</v>
      </c>
      <c r="G9" s="6"/>
      <c r="H9" s="6">
        <v>106</v>
      </c>
      <c r="I9" s="6"/>
      <c r="J9" s="4">
        <v>21625</v>
      </c>
      <c r="K9" s="4"/>
    </row>
    <row r="10" spans="2:11" x14ac:dyDescent="0.25">
      <c r="B10" s="4"/>
      <c r="C10" s="4"/>
      <c r="D10" s="4"/>
      <c r="E10" s="4"/>
      <c r="F10" s="6"/>
      <c r="G10" s="6"/>
      <c r="H10" s="6"/>
      <c r="I10" s="6"/>
      <c r="J10" s="4"/>
      <c r="K10" s="4"/>
    </row>
    <row r="13" spans="2:13" x14ac:dyDescent="0.25">
      <c r="B13" s="9" t="s">
        <v>259</v>
      </c>
      <c r="C13" s="9" t="s">
        <v>220</v>
      </c>
      <c r="D13" s="9" t="s">
        <v>260</v>
      </c>
      <c r="E13" s="9" t="s">
        <v>261</v>
      </c>
      <c r="F13" s="9" t="s">
        <v>262</v>
      </c>
      <c r="G13" s="9" t="s">
        <v>51</v>
      </c>
      <c r="H13" s="9" t="s">
        <v>9</v>
      </c>
      <c r="I13" s="9" t="s">
        <v>57</v>
      </c>
      <c r="J13" s="9" t="s">
        <v>221</v>
      </c>
      <c r="K13" s="9" t="s">
        <v>263</v>
      </c>
      <c r="L13" s="9" t="s">
        <v>264</v>
      </c>
      <c r="M13" s="9" t="s">
        <v>265</v>
      </c>
    </row>
    <row r="14" spans="2:13" x14ac:dyDescent="0.25">
      <c r="B14" s="10" t="s">
        <v>83</v>
      </c>
      <c r="C14" s="10" t="s">
        <v>232</v>
      </c>
      <c r="D14" s="46">
        <v>10</v>
      </c>
      <c r="E14" s="46">
        <v>30</v>
      </c>
      <c r="F14" s="47">
        <v>11100</v>
      </c>
      <c r="G14" s="47">
        <v>11100</v>
      </c>
      <c r="H14" s="47">
        <v>0</v>
      </c>
      <c r="I14" s="10" t="s">
        <v>70</v>
      </c>
      <c r="J14" s="10" t="s">
        <v>151</v>
      </c>
      <c r="K14" s="46">
        <v>3</v>
      </c>
      <c r="L14" s="10" t="s">
        <v>266</v>
      </c>
      <c r="M14" s="10" t="s">
        <v>22</v>
      </c>
    </row>
    <row r="15" spans="2:13" x14ac:dyDescent="0.25">
      <c r="B15" s="10" t="s">
        <v>111</v>
      </c>
      <c r="C15" s="10" t="s">
        <v>238</v>
      </c>
      <c r="D15" s="46">
        <v>7</v>
      </c>
      <c r="E15" s="46">
        <v>20</v>
      </c>
      <c r="F15" s="47">
        <v>6600</v>
      </c>
      <c r="G15" s="47">
        <v>6600</v>
      </c>
      <c r="H15" s="47">
        <v>0</v>
      </c>
      <c r="I15" s="10" t="s">
        <v>112</v>
      </c>
      <c r="J15" s="10" t="s">
        <v>291</v>
      </c>
      <c r="K15" s="46">
        <v>8</v>
      </c>
      <c r="L15" s="10" t="s">
        <v>266</v>
      </c>
      <c r="M15" s="10" t="s">
        <v>22</v>
      </c>
    </row>
    <row r="16" spans="2:13" x14ac:dyDescent="0.25">
      <c r="B16" s="10" t="s">
        <v>160</v>
      </c>
      <c r="C16" s="10" t="s">
        <v>226</v>
      </c>
      <c r="D16" s="46">
        <v>3</v>
      </c>
      <c r="E16" s="46">
        <v>5</v>
      </c>
      <c r="F16" s="47">
        <v>1225</v>
      </c>
      <c r="G16" s="47">
        <v>0</v>
      </c>
      <c r="H16" s="47">
        <v>1225</v>
      </c>
      <c r="I16" s="10" t="s">
        <v>73</v>
      </c>
      <c r="J16" s="10" t="s">
        <v>292</v>
      </c>
      <c r="K16" s="46">
        <v>10</v>
      </c>
      <c r="L16" s="10" t="s">
        <v>266</v>
      </c>
      <c r="M16" s="10" t="s">
        <v>22</v>
      </c>
    </row>
    <row r="17" spans="2:13" x14ac:dyDescent="0.25">
      <c r="B17" s="10" t="s">
        <v>202</v>
      </c>
      <c r="C17" s="10" t="s">
        <v>232</v>
      </c>
      <c r="D17" s="46">
        <v>1</v>
      </c>
      <c r="E17" s="46">
        <v>1</v>
      </c>
      <c r="F17" s="47">
        <v>0</v>
      </c>
      <c r="G17" s="47">
        <v>0</v>
      </c>
      <c r="H17" s="47">
        <v>0</v>
      </c>
      <c r="I17" s="10" t="s">
        <v>73</v>
      </c>
      <c r="J17" s="10" t="s">
        <v>73</v>
      </c>
      <c r="K17" s="46">
        <v>10</v>
      </c>
      <c r="L17" s="10" t="s">
        <v>266</v>
      </c>
      <c r="M17" s="10" t="s">
        <v>268</v>
      </c>
    </row>
    <row r="18" spans="2:13" x14ac:dyDescent="0.25">
      <c r="B18" s="10" t="s">
        <v>161</v>
      </c>
      <c r="C18" s="10" t="s">
        <v>238</v>
      </c>
      <c r="D18" s="46">
        <v>5</v>
      </c>
      <c r="E18" s="46">
        <v>10</v>
      </c>
      <c r="F18" s="47">
        <v>1200</v>
      </c>
      <c r="G18" s="47">
        <v>1200</v>
      </c>
      <c r="H18" s="47">
        <v>0</v>
      </c>
      <c r="I18" s="10" t="s">
        <v>73</v>
      </c>
      <c r="J18" s="10" t="s">
        <v>121</v>
      </c>
      <c r="K18" s="46">
        <v>10</v>
      </c>
      <c r="L18" s="10" t="s">
        <v>266</v>
      </c>
      <c r="M18" s="10" t="s">
        <v>22</v>
      </c>
    </row>
    <row r="19" spans="2:13" x14ac:dyDescent="0.25">
      <c r="B19" s="10" t="s">
        <v>84</v>
      </c>
      <c r="C19" s="10" t="s">
        <v>248</v>
      </c>
      <c r="D19" s="46">
        <v>3</v>
      </c>
      <c r="E19" s="46">
        <v>20</v>
      </c>
      <c r="F19" s="47">
        <v>10800</v>
      </c>
      <c r="G19" s="47">
        <v>10800</v>
      </c>
      <c r="H19" s="47">
        <v>0</v>
      </c>
      <c r="I19" s="10" t="s">
        <v>77</v>
      </c>
      <c r="J19" s="10" t="s">
        <v>89</v>
      </c>
      <c r="K19" s="46">
        <v>15</v>
      </c>
      <c r="L19" s="10" t="s">
        <v>266</v>
      </c>
      <c r="M19" s="10" t="s">
        <v>22</v>
      </c>
    </row>
    <row r="20" spans="2:13" x14ac:dyDescent="0.25">
      <c r="B20" s="10" t="s">
        <v>76</v>
      </c>
      <c r="C20" s="10" t="s">
        <v>293</v>
      </c>
      <c r="D20" s="46">
        <v>1</v>
      </c>
      <c r="E20" s="46">
        <v>30</v>
      </c>
      <c r="F20" s="47">
        <v>18000</v>
      </c>
      <c r="G20" s="47">
        <v>18000</v>
      </c>
      <c r="H20" s="47">
        <v>0</v>
      </c>
      <c r="I20" s="10" t="s">
        <v>77</v>
      </c>
      <c r="J20" s="10" t="s">
        <v>77</v>
      </c>
      <c r="K20" s="46">
        <v>15</v>
      </c>
      <c r="L20" s="10" t="s">
        <v>266</v>
      </c>
      <c r="M20" s="10" t="s">
        <v>268</v>
      </c>
    </row>
    <row r="21" spans="2:13" x14ac:dyDescent="0.25">
      <c r="B21" s="10" t="s">
        <v>97</v>
      </c>
      <c r="C21" s="10" t="s">
        <v>294</v>
      </c>
      <c r="D21" s="46">
        <v>4</v>
      </c>
      <c r="E21" s="46">
        <v>20</v>
      </c>
      <c r="F21" s="47">
        <v>9600</v>
      </c>
      <c r="G21" s="47">
        <v>4800</v>
      </c>
      <c r="H21" s="47">
        <v>4800</v>
      </c>
      <c r="I21" s="10" t="s">
        <v>98</v>
      </c>
      <c r="J21" s="10" t="s">
        <v>295</v>
      </c>
      <c r="K21" s="46">
        <v>16</v>
      </c>
      <c r="L21" s="10" t="s">
        <v>266</v>
      </c>
      <c r="M21" s="10" t="s">
        <v>22</v>
      </c>
    </row>
    <row r="22" spans="2:13" x14ac:dyDescent="0.25">
      <c r="B22" s="10" t="s">
        <v>142</v>
      </c>
      <c r="C22" s="10" t="s">
        <v>293</v>
      </c>
      <c r="D22" s="46">
        <v>4</v>
      </c>
      <c r="E22" s="46">
        <v>9</v>
      </c>
      <c r="F22" s="47">
        <v>4200</v>
      </c>
      <c r="G22" s="47">
        <v>0</v>
      </c>
      <c r="H22" s="47">
        <v>4200</v>
      </c>
      <c r="I22" s="10" t="s">
        <v>115</v>
      </c>
      <c r="J22" s="10" t="s">
        <v>101</v>
      </c>
      <c r="K22" s="46">
        <v>20</v>
      </c>
      <c r="L22" s="10" t="s">
        <v>266</v>
      </c>
      <c r="M22" s="10" t="s">
        <v>22</v>
      </c>
    </row>
    <row r="23" spans="2:13" x14ac:dyDescent="0.25">
      <c r="B23" s="10" t="s">
        <v>203</v>
      </c>
      <c r="C23" s="10" t="s">
        <v>238</v>
      </c>
      <c r="D23" s="46">
        <v>1</v>
      </c>
      <c r="E23" s="46">
        <v>1</v>
      </c>
      <c r="F23" s="47">
        <v>0</v>
      </c>
      <c r="G23" s="47">
        <v>0</v>
      </c>
      <c r="H23" s="47">
        <v>0</v>
      </c>
      <c r="I23" s="10" t="s">
        <v>137</v>
      </c>
      <c r="J23" s="10" t="s">
        <v>137</v>
      </c>
      <c r="K23" s="46">
        <v>22</v>
      </c>
      <c r="L23" s="10" t="s">
        <v>266</v>
      </c>
      <c r="M23" s="10" t="s">
        <v>268</v>
      </c>
    </row>
    <row r="24" spans="2:13" x14ac:dyDescent="0.25">
      <c r="B24" s="10" t="s">
        <v>107</v>
      </c>
      <c r="C24" s="10" t="s">
        <v>238</v>
      </c>
      <c r="D24" s="46">
        <v>4</v>
      </c>
      <c r="E24" s="46">
        <v>8</v>
      </c>
      <c r="F24" s="47">
        <v>3725</v>
      </c>
      <c r="G24" s="47">
        <v>3725</v>
      </c>
      <c r="H24" s="47">
        <v>0</v>
      </c>
      <c r="I24" s="10" t="s">
        <v>137</v>
      </c>
      <c r="J24" s="10" t="s">
        <v>155</v>
      </c>
      <c r="K24" s="46">
        <v>22</v>
      </c>
      <c r="L24" s="10" t="s">
        <v>266</v>
      </c>
      <c r="M24" s="10" t="s">
        <v>22</v>
      </c>
    </row>
    <row r="25" spans="2:13" x14ac:dyDescent="0.25">
      <c r="B25" s="10" t="s">
        <v>206</v>
      </c>
      <c r="C25" s="10" t="s">
        <v>296</v>
      </c>
      <c r="D25" s="46">
        <v>1</v>
      </c>
      <c r="E25" s="46">
        <v>1</v>
      </c>
      <c r="F25" s="47">
        <v>0</v>
      </c>
      <c r="G25" s="47">
        <v>0</v>
      </c>
      <c r="H25" s="47">
        <v>0</v>
      </c>
      <c r="I25" s="10" t="s">
        <v>65</v>
      </c>
      <c r="J25" s="10" t="s">
        <v>65</v>
      </c>
      <c r="K25" s="46">
        <v>34</v>
      </c>
      <c r="L25" s="10" t="s">
        <v>266</v>
      </c>
      <c r="M25" s="10" t="s">
        <v>22</v>
      </c>
    </row>
    <row r="26" spans="2:13" x14ac:dyDescent="0.25">
      <c r="B26" s="10" t="s">
        <v>169</v>
      </c>
      <c r="C26" s="10" t="s">
        <v>238</v>
      </c>
      <c r="D26" s="46">
        <v>2</v>
      </c>
      <c r="E26" s="46">
        <v>2</v>
      </c>
      <c r="F26" s="47">
        <v>600</v>
      </c>
      <c r="G26" s="47">
        <v>600</v>
      </c>
      <c r="H26" s="47">
        <v>0</v>
      </c>
      <c r="I26" s="10" t="s">
        <v>170</v>
      </c>
      <c r="J26" s="10" t="s">
        <v>191</v>
      </c>
      <c r="K26" s="46">
        <v>38</v>
      </c>
      <c r="L26" s="10" t="s">
        <v>266</v>
      </c>
      <c r="M26" s="10" t="s">
        <v>22</v>
      </c>
    </row>
    <row r="27" spans="2:13" x14ac:dyDescent="0.25">
      <c r="B27" s="10" t="s">
        <v>81</v>
      </c>
      <c r="C27" s="10" t="s">
        <v>293</v>
      </c>
      <c r="D27" s="46">
        <v>4</v>
      </c>
      <c r="E27" s="46">
        <v>23</v>
      </c>
      <c r="F27" s="47">
        <v>12600</v>
      </c>
      <c r="G27" s="47">
        <v>9600</v>
      </c>
      <c r="H27" s="47">
        <v>3000</v>
      </c>
      <c r="I27" s="10" t="s">
        <v>61</v>
      </c>
      <c r="J27" s="10" t="s">
        <v>297</v>
      </c>
      <c r="K27" s="46">
        <v>41</v>
      </c>
      <c r="L27" s="10" t="s">
        <v>266</v>
      </c>
      <c r="M27" s="10" t="s">
        <v>22</v>
      </c>
    </row>
    <row r="28" spans="2:13" x14ac:dyDescent="0.25">
      <c r="B28" s="10" t="s">
        <v>118</v>
      </c>
      <c r="C28" s="10" t="s">
        <v>248</v>
      </c>
      <c r="D28" s="46">
        <v>4</v>
      </c>
      <c r="E28" s="46">
        <v>17</v>
      </c>
      <c r="F28" s="47">
        <v>6465</v>
      </c>
      <c r="G28" s="47">
        <v>1665</v>
      </c>
      <c r="H28" s="47">
        <v>4800</v>
      </c>
      <c r="I28" s="10" t="s">
        <v>90</v>
      </c>
      <c r="J28" s="10" t="s">
        <v>298</v>
      </c>
      <c r="K28" s="46">
        <v>42</v>
      </c>
      <c r="L28" s="10" t="s">
        <v>266</v>
      </c>
      <c r="M28" s="10" t="s">
        <v>22</v>
      </c>
    </row>
    <row r="29" spans="2:13" x14ac:dyDescent="0.25">
      <c r="B29" s="10" t="s">
        <v>86</v>
      </c>
      <c r="C29" s="10" t="s">
        <v>293</v>
      </c>
      <c r="D29" s="46">
        <v>11</v>
      </c>
      <c r="E29" s="46">
        <v>25</v>
      </c>
      <c r="F29" s="47">
        <v>15330</v>
      </c>
      <c r="G29" s="47">
        <v>12330</v>
      </c>
      <c r="H29" s="47">
        <v>3000</v>
      </c>
      <c r="I29" s="10" t="s">
        <v>87</v>
      </c>
      <c r="J29" s="10" t="s">
        <v>299</v>
      </c>
      <c r="K29" s="46">
        <v>43</v>
      </c>
      <c r="L29" s="10" t="s">
        <v>266</v>
      </c>
      <c r="M29" s="10" t="s">
        <v>22</v>
      </c>
    </row>
    <row r="30" spans="2:13" x14ac:dyDescent="0.25">
      <c r="B30" s="10" t="s">
        <v>157</v>
      </c>
      <c r="C30" s="10" t="s">
        <v>245</v>
      </c>
      <c r="D30" s="46">
        <v>2</v>
      </c>
      <c r="E30" s="46">
        <v>2</v>
      </c>
      <c r="F30" s="47">
        <v>1275</v>
      </c>
      <c r="G30" s="47">
        <v>1275</v>
      </c>
      <c r="H30" s="47">
        <v>0</v>
      </c>
      <c r="I30" s="10" t="s">
        <v>158</v>
      </c>
      <c r="J30" s="10" t="s">
        <v>189</v>
      </c>
      <c r="K30" s="46">
        <v>44</v>
      </c>
      <c r="L30" s="10" t="s">
        <v>266</v>
      </c>
      <c r="M30" s="10" t="s">
        <v>22</v>
      </c>
    </row>
    <row r="31" spans="2:13" x14ac:dyDescent="0.25">
      <c r="B31" s="10" t="s">
        <v>172</v>
      </c>
      <c r="C31" s="10" t="s">
        <v>300</v>
      </c>
      <c r="D31" s="46">
        <v>1</v>
      </c>
      <c r="E31" s="46">
        <v>1</v>
      </c>
      <c r="F31" s="47">
        <v>600</v>
      </c>
      <c r="G31" s="47">
        <v>0</v>
      </c>
      <c r="H31" s="47">
        <v>600</v>
      </c>
      <c r="I31" s="10" t="s">
        <v>131</v>
      </c>
      <c r="J31" s="10" t="s">
        <v>131</v>
      </c>
      <c r="K31" s="46">
        <v>45</v>
      </c>
      <c r="L31" s="10" t="s">
        <v>266</v>
      </c>
      <c r="M31" s="10" t="s">
        <v>22</v>
      </c>
    </row>
    <row r="32" spans="2:13" x14ac:dyDescent="0.25">
      <c r="B32" s="10" t="s">
        <v>208</v>
      </c>
      <c r="C32" s="10" t="s">
        <v>248</v>
      </c>
      <c r="D32" s="46">
        <v>1</v>
      </c>
      <c r="E32" s="46">
        <v>1</v>
      </c>
      <c r="F32" s="47">
        <v>0</v>
      </c>
      <c r="G32" s="47">
        <v>0</v>
      </c>
      <c r="H32" s="47">
        <v>0</v>
      </c>
      <c r="I32" s="10" t="s">
        <v>89</v>
      </c>
      <c r="J32" s="10" t="s">
        <v>89</v>
      </c>
      <c r="K32" s="46">
        <v>48</v>
      </c>
      <c r="L32" s="10" t="s">
        <v>266</v>
      </c>
      <c r="M32" s="10" t="s">
        <v>22</v>
      </c>
    </row>
    <row r="33" spans="2:13" x14ac:dyDescent="0.25">
      <c r="B33" s="10" t="s">
        <v>146</v>
      </c>
      <c r="C33" s="10" t="s">
        <v>238</v>
      </c>
      <c r="D33" s="46">
        <v>3</v>
      </c>
      <c r="E33" s="46">
        <v>5</v>
      </c>
      <c r="F33" s="47">
        <v>2400</v>
      </c>
      <c r="G33" s="47">
        <v>2400</v>
      </c>
      <c r="H33" s="47">
        <v>0</v>
      </c>
      <c r="I33" s="10" t="s">
        <v>79</v>
      </c>
      <c r="J33" s="10" t="s">
        <v>301</v>
      </c>
      <c r="K33" s="46">
        <v>50</v>
      </c>
      <c r="L33" s="10" t="s">
        <v>266</v>
      </c>
      <c r="M33" s="10" t="s">
        <v>22</v>
      </c>
    </row>
    <row r="34" spans="2:13" x14ac:dyDescent="0.25">
      <c r="B34" s="10" t="s">
        <v>134</v>
      </c>
      <c r="C34" s="10" t="s">
        <v>226</v>
      </c>
      <c r="D34" s="46">
        <v>2</v>
      </c>
      <c r="E34" s="46">
        <v>10</v>
      </c>
      <c r="F34" s="47">
        <v>4800</v>
      </c>
      <c r="G34" s="47">
        <v>4800</v>
      </c>
      <c r="H34" s="47">
        <v>0</v>
      </c>
      <c r="I34" s="10" t="s">
        <v>135</v>
      </c>
      <c r="J34" s="10" t="s">
        <v>135</v>
      </c>
      <c r="K34" s="46">
        <v>58</v>
      </c>
      <c r="L34" s="10" t="s">
        <v>266</v>
      </c>
      <c r="M34" s="10" t="s">
        <v>22</v>
      </c>
    </row>
    <row r="35" spans="2:13" x14ac:dyDescent="0.25">
      <c r="B35" s="10" t="s">
        <v>210</v>
      </c>
      <c r="C35" s="10" t="s">
        <v>226</v>
      </c>
      <c r="D35" s="46">
        <v>1</v>
      </c>
      <c r="E35" s="46">
        <v>2</v>
      </c>
      <c r="F35" s="47">
        <v>0</v>
      </c>
      <c r="G35" s="47">
        <v>0</v>
      </c>
      <c r="H35" s="47">
        <v>0</v>
      </c>
      <c r="I35" s="10" t="s">
        <v>135</v>
      </c>
      <c r="J35" s="10" t="s">
        <v>135</v>
      </c>
      <c r="K35" s="46">
        <v>58</v>
      </c>
      <c r="L35" s="10" t="s">
        <v>266</v>
      </c>
      <c r="M35" s="10" t="s">
        <v>22</v>
      </c>
    </row>
    <row r="36" spans="2:13" x14ac:dyDescent="0.25">
      <c r="B36" s="10" t="s">
        <v>211</v>
      </c>
      <c r="C36" s="10" t="s">
        <v>302</v>
      </c>
      <c r="D36" s="46">
        <v>1</v>
      </c>
      <c r="E36" s="46">
        <v>1</v>
      </c>
      <c r="F36" s="47">
        <v>0</v>
      </c>
      <c r="G36" s="47">
        <v>0</v>
      </c>
      <c r="H36" s="47">
        <v>0</v>
      </c>
      <c r="I36" s="10" t="s">
        <v>212</v>
      </c>
      <c r="J36" s="10" t="s">
        <v>212</v>
      </c>
      <c r="K36" s="46">
        <v>62</v>
      </c>
      <c r="L36" s="10" t="s">
        <v>266</v>
      </c>
      <c r="M36" s="10" t="s">
        <v>22</v>
      </c>
    </row>
    <row r="37" spans="2:13" x14ac:dyDescent="0.25">
      <c r="B37" s="10" t="s">
        <v>128</v>
      </c>
      <c r="C37" s="10" t="s">
        <v>226</v>
      </c>
      <c r="D37" s="46">
        <v>3</v>
      </c>
      <c r="E37" s="46">
        <v>11</v>
      </c>
      <c r="F37" s="47">
        <v>5400</v>
      </c>
      <c r="G37" s="47">
        <v>5400</v>
      </c>
      <c r="H37" s="47">
        <v>0</v>
      </c>
      <c r="I37" s="10" t="s">
        <v>129</v>
      </c>
      <c r="J37" s="10" t="s">
        <v>301</v>
      </c>
      <c r="K37" s="46">
        <v>67</v>
      </c>
      <c r="L37" s="10" t="s">
        <v>266</v>
      </c>
      <c r="M37" s="10" t="s">
        <v>22</v>
      </c>
    </row>
    <row r="38" spans="2:13" x14ac:dyDescent="0.25">
      <c r="B38" s="10" t="s">
        <v>156</v>
      </c>
      <c r="C38" s="10" t="s">
        <v>293</v>
      </c>
      <c r="D38" s="46">
        <v>2</v>
      </c>
      <c r="E38" s="46">
        <v>6</v>
      </c>
      <c r="F38" s="47">
        <v>1800</v>
      </c>
      <c r="G38" s="47">
        <v>1800</v>
      </c>
      <c r="H38" s="47">
        <v>0</v>
      </c>
      <c r="I38" s="10" t="s">
        <v>140</v>
      </c>
      <c r="J38" s="10" t="s">
        <v>235</v>
      </c>
      <c r="K38" s="46">
        <v>72</v>
      </c>
      <c r="L38" s="10" t="s">
        <v>266</v>
      </c>
      <c r="M38" s="10" t="s">
        <v>22</v>
      </c>
    </row>
    <row r="39" spans="2:13" x14ac:dyDescent="0.25">
      <c r="B39" s="10" t="s">
        <v>139</v>
      </c>
      <c r="C39" s="10" t="s">
        <v>244</v>
      </c>
      <c r="D39" s="46">
        <v>2</v>
      </c>
      <c r="E39" s="46">
        <v>10</v>
      </c>
      <c r="F39" s="47">
        <v>4800</v>
      </c>
      <c r="G39" s="47">
        <v>4800</v>
      </c>
      <c r="H39" s="47">
        <v>0</v>
      </c>
      <c r="I39" s="10" t="s">
        <v>140</v>
      </c>
      <c r="J39" s="10" t="s">
        <v>199</v>
      </c>
      <c r="K39" s="46">
        <v>72</v>
      </c>
      <c r="L39" s="10" t="s">
        <v>266</v>
      </c>
      <c r="M39" s="10" t="s">
        <v>22</v>
      </c>
    </row>
    <row r="40" spans="2:13" x14ac:dyDescent="0.25">
      <c r="B40" s="10" t="s">
        <v>130</v>
      </c>
      <c r="C40" s="10" t="s">
        <v>238</v>
      </c>
      <c r="D40" s="46">
        <v>3</v>
      </c>
      <c r="E40" s="46">
        <v>9</v>
      </c>
      <c r="F40" s="47">
        <v>4800</v>
      </c>
      <c r="G40" s="47">
        <v>4800</v>
      </c>
      <c r="H40" s="47">
        <v>0</v>
      </c>
      <c r="I40" s="10" t="s">
        <v>303</v>
      </c>
      <c r="J40" s="10" t="s">
        <v>304</v>
      </c>
      <c r="K40" s="46">
        <v>91</v>
      </c>
      <c r="L40" s="10" t="s">
        <v>276</v>
      </c>
      <c r="M40" s="10" t="s">
        <v>22</v>
      </c>
    </row>
    <row r="41" spans="2:13" x14ac:dyDescent="0.25">
      <c r="B41" s="10" t="s">
        <v>178</v>
      </c>
      <c r="C41" s="10" t="s">
        <v>226</v>
      </c>
      <c r="D41" s="46">
        <v>3</v>
      </c>
      <c r="E41" s="46">
        <v>4</v>
      </c>
      <c r="F41" s="47">
        <v>600</v>
      </c>
      <c r="G41" s="47">
        <v>600</v>
      </c>
      <c r="H41" s="47">
        <v>0</v>
      </c>
      <c r="I41" s="10" t="s">
        <v>179</v>
      </c>
      <c r="J41" s="10" t="s">
        <v>247</v>
      </c>
      <c r="K41" s="46">
        <v>94</v>
      </c>
      <c r="L41" s="10" t="s">
        <v>276</v>
      </c>
      <c r="M41" s="10" t="s">
        <v>22</v>
      </c>
    </row>
    <row r="42" spans="2:13" x14ac:dyDescent="0.25">
      <c r="B42" s="10" t="s">
        <v>147</v>
      </c>
      <c r="C42" s="10" t="s">
        <v>238</v>
      </c>
      <c r="D42" s="46">
        <v>2</v>
      </c>
      <c r="E42" s="46">
        <v>5</v>
      </c>
      <c r="F42" s="47">
        <v>2400</v>
      </c>
      <c r="G42" s="47">
        <v>2400</v>
      </c>
      <c r="H42" s="47">
        <v>0</v>
      </c>
      <c r="I42" s="10" t="s">
        <v>96</v>
      </c>
      <c r="J42" s="10" t="s">
        <v>148</v>
      </c>
      <c r="K42" s="46">
        <v>107</v>
      </c>
      <c r="L42" s="10" t="s">
        <v>276</v>
      </c>
      <c r="M42" s="10" t="s">
        <v>22</v>
      </c>
    </row>
    <row r="43" spans="2:13" x14ac:dyDescent="0.25">
      <c r="B43" s="10" t="s">
        <v>215</v>
      </c>
      <c r="C43" s="10" t="s">
        <v>302</v>
      </c>
      <c r="D43" s="46">
        <v>1</v>
      </c>
      <c r="E43" s="46">
        <v>1</v>
      </c>
      <c r="F43" s="47">
        <v>0</v>
      </c>
      <c r="G43" s="47">
        <v>0</v>
      </c>
      <c r="H43" s="47">
        <v>0</v>
      </c>
      <c r="I43" s="10" t="s">
        <v>216</v>
      </c>
      <c r="J43" s="10" t="s">
        <v>216</v>
      </c>
      <c r="K43" s="46">
        <v>112</v>
      </c>
      <c r="L43" s="10" t="s">
        <v>276</v>
      </c>
      <c r="M43" s="10" t="s">
        <v>22</v>
      </c>
    </row>
    <row r="44" spans="2:13" x14ac:dyDescent="0.25">
      <c r="B44" s="10" t="s">
        <v>180</v>
      </c>
      <c r="C44" s="10" t="s">
        <v>226</v>
      </c>
      <c r="D44" s="46">
        <v>2</v>
      </c>
      <c r="E44" s="46">
        <v>2</v>
      </c>
      <c r="F44" s="47">
        <v>600</v>
      </c>
      <c r="G44" s="47">
        <v>600</v>
      </c>
      <c r="H44" s="47">
        <v>0</v>
      </c>
      <c r="I44" s="10" t="s">
        <v>181</v>
      </c>
      <c r="J44" s="10" t="s">
        <v>92</v>
      </c>
      <c r="K44" s="46">
        <v>118</v>
      </c>
      <c r="L44" s="10" t="s">
        <v>276</v>
      </c>
      <c r="M44" s="10" t="s">
        <v>22</v>
      </c>
    </row>
    <row r="45" spans="2:13" x14ac:dyDescent="0.25">
      <c r="B45" s="10" t="s">
        <v>91</v>
      </c>
      <c r="C45" s="10" t="s">
        <v>226</v>
      </c>
      <c r="D45" s="46">
        <v>4</v>
      </c>
      <c r="E45" s="46">
        <v>17</v>
      </c>
      <c r="F45" s="47">
        <v>10200</v>
      </c>
      <c r="G45" s="47">
        <v>10200</v>
      </c>
      <c r="H45" s="47">
        <v>0</v>
      </c>
      <c r="I45" s="10" t="s">
        <v>92</v>
      </c>
      <c r="J45" s="10" t="s">
        <v>235</v>
      </c>
      <c r="K45" s="46">
        <v>128</v>
      </c>
      <c r="L45" s="10" t="s">
        <v>276</v>
      </c>
      <c r="M45" s="10" t="s">
        <v>22</v>
      </c>
    </row>
    <row r="46" spans="2:13" x14ac:dyDescent="0.25">
      <c r="B46" s="10" t="s">
        <v>164</v>
      </c>
      <c r="C46" s="10" t="s">
        <v>246</v>
      </c>
      <c r="D46" s="46">
        <v>1</v>
      </c>
      <c r="E46" s="46">
        <v>2</v>
      </c>
      <c r="F46" s="47">
        <v>1200</v>
      </c>
      <c r="G46" s="47">
        <v>1200</v>
      </c>
      <c r="H46" s="47">
        <v>0</v>
      </c>
      <c r="I46" s="10" t="s">
        <v>165</v>
      </c>
      <c r="J46" s="10" t="s">
        <v>165</v>
      </c>
      <c r="K46" s="46">
        <v>134</v>
      </c>
      <c r="L46" s="10" t="s">
        <v>276</v>
      </c>
      <c r="M46" s="10" t="s">
        <v>22</v>
      </c>
    </row>
    <row r="47" spans="2:13" x14ac:dyDescent="0.25">
      <c r="B47" s="10" t="s">
        <v>183</v>
      </c>
      <c r="C47" s="10" t="s">
        <v>245</v>
      </c>
      <c r="D47" s="46">
        <v>1</v>
      </c>
      <c r="E47" s="46">
        <v>1</v>
      </c>
      <c r="F47" s="47">
        <v>600</v>
      </c>
      <c r="G47" s="47">
        <v>600</v>
      </c>
      <c r="H47" s="47">
        <v>0</v>
      </c>
      <c r="I47" s="10" t="s">
        <v>184</v>
      </c>
      <c r="J47" s="10" t="s">
        <v>184</v>
      </c>
      <c r="K47" s="46">
        <v>139</v>
      </c>
      <c r="L47" s="10" t="s">
        <v>276</v>
      </c>
      <c r="M47" s="10" t="s">
        <v>22</v>
      </c>
    </row>
    <row r="48" spans="2:13" x14ac:dyDescent="0.25">
      <c r="B48" s="10" t="s">
        <v>185</v>
      </c>
      <c r="C48" s="10" t="s">
        <v>248</v>
      </c>
      <c r="D48" s="46">
        <v>1</v>
      </c>
      <c r="E48" s="46">
        <v>1</v>
      </c>
      <c r="F48" s="47">
        <v>600</v>
      </c>
      <c r="G48" s="47">
        <v>600</v>
      </c>
      <c r="H48" s="47">
        <v>0</v>
      </c>
      <c r="I48" s="10" t="s">
        <v>186</v>
      </c>
      <c r="J48" s="10" t="s">
        <v>186</v>
      </c>
      <c r="K48" s="46">
        <v>155</v>
      </c>
      <c r="L48" s="10" t="s">
        <v>276</v>
      </c>
      <c r="M48" s="10" t="s">
        <v>22</v>
      </c>
    </row>
    <row r="49" spans="2:13" x14ac:dyDescent="0.25">
      <c r="B49" s="10" t="s">
        <v>200</v>
      </c>
      <c r="C49" s="10" t="s">
        <v>296</v>
      </c>
      <c r="D49" s="46">
        <v>1</v>
      </c>
      <c r="E49" s="46">
        <v>1</v>
      </c>
      <c r="F49" s="47">
        <v>0</v>
      </c>
      <c r="G49" s="47">
        <v>0</v>
      </c>
      <c r="H49" s="47">
        <v>0</v>
      </c>
      <c r="I49" s="10" t="s">
        <v>191</v>
      </c>
      <c r="J49" s="10" t="s">
        <v>191</v>
      </c>
      <c r="K49" s="46">
        <v>163</v>
      </c>
      <c r="L49" s="10" t="s">
        <v>276</v>
      </c>
      <c r="M49" s="10" t="s">
        <v>22</v>
      </c>
    </row>
    <row r="50" spans="2:13" x14ac:dyDescent="0.25">
      <c r="B50" s="10" t="s">
        <v>149</v>
      </c>
      <c r="C50" s="10" t="s">
        <v>238</v>
      </c>
      <c r="D50" s="46">
        <v>1</v>
      </c>
      <c r="E50" s="46">
        <v>4</v>
      </c>
      <c r="F50" s="47">
        <v>2400</v>
      </c>
      <c r="G50" s="47">
        <v>2400</v>
      </c>
      <c r="H50" s="47">
        <v>0</v>
      </c>
      <c r="I50" s="10" t="s">
        <v>148</v>
      </c>
      <c r="J50" s="10" t="s">
        <v>148</v>
      </c>
      <c r="K50" s="46">
        <v>176</v>
      </c>
      <c r="L50" s="10" t="s">
        <v>276</v>
      </c>
      <c r="M50" s="10" t="s">
        <v>22</v>
      </c>
    </row>
    <row r="51" spans="2:13" x14ac:dyDescent="0.25">
      <c r="B51" s="10" t="s">
        <v>150</v>
      </c>
      <c r="C51" s="10" t="s">
        <v>293</v>
      </c>
      <c r="D51" s="46">
        <v>1</v>
      </c>
      <c r="E51" s="46">
        <v>4</v>
      </c>
      <c r="F51" s="47">
        <v>2400</v>
      </c>
      <c r="G51" s="47">
        <v>2400</v>
      </c>
      <c r="H51" s="47">
        <v>0</v>
      </c>
      <c r="I51" s="10" t="s">
        <v>151</v>
      </c>
      <c r="J51" s="10" t="s">
        <v>151</v>
      </c>
      <c r="K51" s="46">
        <v>219</v>
      </c>
      <c r="L51" s="10" t="s">
        <v>276</v>
      </c>
      <c r="M51" s="10" t="s">
        <v>22</v>
      </c>
    </row>
    <row r="52" spans="2:13" x14ac:dyDescent="0.25">
      <c r="B52" s="10" t="s">
        <v>305</v>
      </c>
      <c r="C52" s="10" t="s">
        <v>306</v>
      </c>
      <c r="D52" s="46">
        <v>0</v>
      </c>
      <c r="E52" s="46">
        <v>0</v>
      </c>
      <c r="F52" s="47">
        <v>0</v>
      </c>
      <c r="G52" s="47">
        <v>0</v>
      </c>
      <c r="H52" s="47">
        <v>0</v>
      </c>
      <c r="I52" s="10"/>
      <c r="J52" s="10"/>
      <c r="K52" s="46">
        <v>0</v>
      </c>
      <c r="L52" s="10" t="s">
        <v>279</v>
      </c>
      <c r="M52" s="10" t="s">
        <v>22</v>
      </c>
    </row>
    <row r="53" spans="2:13" x14ac:dyDescent="0.25">
      <c r="B53" s="10" t="s">
        <v>307</v>
      </c>
      <c r="C53" s="10" t="s">
        <v>293</v>
      </c>
      <c r="D53" s="46">
        <v>0</v>
      </c>
      <c r="E53" s="46">
        <v>0</v>
      </c>
      <c r="F53" s="47">
        <v>0</v>
      </c>
      <c r="G53" s="47">
        <v>0</v>
      </c>
      <c r="H53" s="47">
        <v>0</v>
      </c>
      <c r="I53" s="10"/>
      <c r="J53" s="10"/>
      <c r="K53" s="46">
        <v>0</v>
      </c>
      <c r="L53" s="10" t="s">
        <v>279</v>
      </c>
      <c r="M53" s="10" t="s">
        <v>22</v>
      </c>
    </row>
    <row r="54" spans="2:13" x14ac:dyDescent="0.25">
      <c r="B54" s="10" t="s">
        <v>308</v>
      </c>
      <c r="C54" s="10" t="s">
        <v>293</v>
      </c>
      <c r="D54" s="46">
        <v>0</v>
      </c>
      <c r="E54" s="46">
        <v>0</v>
      </c>
      <c r="F54" s="47">
        <v>0</v>
      </c>
      <c r="G54" s="47">
        <v>0</v>
      </c>
      <c r="H54" s="47">
        <v>0</v>
      </c>
      <c r="I54" s="10"/>
      <c r="J54" s="10"/>
      <c r="K54" s="46">
        <v>0</v>
      </c>
      <c r="L54" s="10" t="s">
        <v>279</v>
      </c>
      <c r="M54" s="10" t="s">
        <v>22</v>
      </c>
    </row>
    <row r="55" spans="2:13" x14ac:dyDescent="0.25">
      <c r="B55" s="10" t="s">
        <v>309</v>
      </c>
      <c r="C55" s="10" t="s">
        <v>310</v>
      </c>
      <c r="D55" s="46">
        <v>0</v>
      </c>
      <c r="E55" s="46">
        <v>0</v>
      </c>
      <c r="F55" s="47">
        <v>0</v>
      </c>
      <c r="G55" s="47">
        <v>0</v>
      </c>
      <c r="H55" s="47">
        <v>0</v>
      </c>
      <c r="I55" s="10"/>
      <c r="J55" s="10"/>
      <c r="K55" s="46">
        <v>0</v>
      </c>
      <c r="L55" s="10" t="s">
        <v>279</v>
      </c>
      <c r="M55" s="10" t="s">
        <v>22</v>
      </c>
    </row>
    <row r="56" spans="2:13" x14ac:dyDescent="0.25">
      <c r="B56" s="10" t="s">
        <v>311</v>
      </c>
      <c r="C56" s="10" t="s">
        <v>300</v>
      </c>
      <c r="D56" s="46">
        <v>0</v>
      </c>
      <c r="E56" s="46">
        <v>0</v>
      </c>
      <c r="F56" s="47">
        <v>0</v>
      </c>
      <c r="G56" s="47">
        <v>0</v>
      </c>
      <c r="H56" s="47">
        <v>0</v>
      </c>
      <c r="I56" s="10"/>
      <c r="J56" s="10"/>
      <c r="K56" s="46">
        <v>0</v>
      </c>
      <c r="L56" s="10" t="s">
        <v>279</v>
      </c>
      <c r="M56" s="10" t="s">
        <v>22</v>
      </c>
    </row>
    <row r="57" spans="2:13" x14ac:dyDescent="0.25">
      <c r="B57" s="10" t="s">
        <v>312</v>
      </c>
      <c r="C57" s="10" t="s">
        <v>293</v>
      </c>
      <c r="D57" s="46">
        <v>0</v>
      </c>
      <c r="E57" s="46">
        <v>0</v>
      </c>
      <c r="F57" s="47">
        <v>0</v>
      </c>
      <c r="G57" s="47">
        <v>0</v>
      </c>
      <c r="H57" s="47">
        <v>0</v>
      </c>
      <c r="I57" s="10"/>
      <c r="J57" s="10"/>
      <c r="K57" s="46">
        <v>0</v>
      </c>
      <c r="L57" s="10" t="s">
        <v>279</v>
      </c>
      <c r="M57" s="10" t="s">
        <v>22</v>
      </c>
    </row>
    <row r="58" spans="2:13" x14ac:dyDescent="0.25">
      <c r="B58" s="10" t="s">
        <v>313</v>
      </c>
      <c r="C58" s="10" t="s">
        <v>314</v>
      </c>
      <c r="D58" s="46">
        <v>0</v>
      </c>
      <c r="E58" s="46">
        <v>0</v>
      </c>
      <c r="F58" s="47">
        <v>0</v>
      </c>
      <c r="G58" s="47">
        <v>0</v>
      </c>
      <c r="H58" s="47">
        <v>0</v>
      </c>
      <c r="I58" s="10"/>
      <c r="J58" s="10"/>
      <c r="K58" s="46">
        <v>0</v>
      </c>
      <c r="L58" s="10" t="s">
        <v>279</v>
      </c>
      <c r="M58" s="10" t="s">
        <v>22</v>
      </c>
    </row>
    <row r="59" spans="2:13" x14ac:dyDescent="0.25">
      <c r="B59" s="10" t="s">
        <v>315</v>
      </c>
      <c r="C59" s="10" t="s">
        <v>232</v>
      </c>
      <c r="D59" s="46">
        <v>0</v>
      </c>
      <c r="E59" s="46">
        <v>0</v>
      </c>
      <c r="F59" s="47">
        <v>0</v>
      </c>
      <c r="G59" s="47">
        <v>0</v>
      </c>
      <c r="H59" s="47">
        <v>0</v>
      </c>
      <c r="I59" s="10"/>
      <c r="J59" s="10"/>
      <c r="K59" s="46">
        <v>0</v>
      </c>
      <c r="L59" s="10" t="s">
        <v>279</v>
      </c>
      <c r="M59" s="10" t="s">
        <v>22</v>
      </c>
    </row>
    <row r="60" spans="2:13" x14ac:dyDescent="0.25">
      <c r="B60" s="10" t="s">
        <v>316</v>
      </c>
      <c r="C60" s="10" t="s">
        <v>293</v>
      </c>
      <c r="D60" s="46">
        <v>0</v>
      </c>
      <c r="E60" s="46">
        <v>0</v>
      </c>
      <c r="F60" s="47">
        <v>0</v>
      </c>
      <c r="G60" s="47">
        <v>0</v>
      </c>
      <c r="H60" s="47">
        <v>0</v>
      </c>
      <c r="I60" s="10"/>
      <c r="J60" s="10"/>
      <c r="K60" s="46">
        <v>0</v>
      </c>
      <c r="L60" s="10" t="s">
        <v>279</v>
      </c>
      <c r="M60" s="10" t="s">
        <v>22</v>
      </c>
    </row>
    <row r="61" spans="2:13" x14ac:dyDescent="0.25">
      <c r="B61" s="10" t="s">
        <v>317</v>
      </c>
      <c r="C61" s="10" t="s">
        <v>318</v>
      </c>
      <c r="D61" s="46">
        <v>0</v>
      </c>
      <c r="E61" s="46">
        <v>0</v>
      </c>
      <c r="F61" s="47">
        <v>0</v>
      </c>
      <c r="G61" s="47">
        <v>0</v>
      </c>
      <c r="H61" s="47">
        <v>0</v>
      </c>
      <c r="I61" s="10"/>
      <c r="J61" s="10"/>
      <c r="K61" s="46">
        <v>0</v>
      </c>
      <c r="L61" s="10" t="s">
        <v>279</v>
      </c>
      <c r="M61" s="10" t="s">
        <v>22</v>
      </c>
    </row>
    <row r="62" spans="2:13" x14ac:dyDescent="0.25">
      <c r="B62" s="10" t="s">
        <v>319</v>
      </c>
      <c r="C62" s="10" t="s">
        <v>310</v>
      </c>
      <c r="D62" s="46">
        <v>0</v>
      </c>
      <c r="E62" s="46">
        <v>0</v>
      </c>
      <c r="F62" s="47">
        <v>0</v>
      </c>
      <c r="G62" s="47">
        <v>0</v>
      </c>
      <c r="H62" s="47">
        <v>0</v>
      </c>
      <c r="I62" s="10"/>
      <c r="J62" s="10"/>
      <c r="K62" s="46">
        <v>0</v>
      </c>
      <c r="L62" s="10" t="s">
        <v>279</v>
      </c>
      <c r="M62" s="10" t="s">
        <v>22</v>
      </c>
    </row>
    <row r="63" spans="2:13" x14ac:dyDescent="0.25">
      <c r="B63" s="10" t="s">
        <v>320</v>
      </c>
      <c r="C63" s="10" t="s">
        <v>294</v>
      </c>
      <c r="D63" s="46">
        <v>0</v>
      </c>
      <c r="E63" s="46">
        <v>0</v>
      </c>
      <c r="F63" s="47">
        <v>0</v>
      </c>
      <c r="G63" s="47">
        <v>0</v>
      </c>
      <c r="H63" s="47">
        <v>0</v>
      </c>
      <c r="I63" s="10"/>
      <c r="J63" s="10"/>
      <c r="K63" s="46">
        <v>0</v>
      </c>
      <c r="L63" s="10" t="s">
        <v>279</v>
      </c>
      <c r="M63" s="10" t="s">
        <v>22</v>
      </c>
    </row>
    <row r="64" spans="2:13" x14ac:dyDescent="0.25">
      <c r="B64" s="10" t="s">
        <v>321</v>
      </c>
      <c r="C64" s="10" t="s">
        <v>232</v>
      </c>
      <c r="D64" s="46">
        <v>0</v>
      </c>
      <c r="E64" s="46">
        <v>0</v>
      </c>
      <c r="F64" s="47">
        <v>0</v>
      </c>
      <c r="G64" s="47">
        <v>0</v>
      </c>
      <c r="H64" s="47">
        <v>0</v>
      </c>
      <c r="I64" s="10"/>
      <c r="J64" s="10"/>
      <c r="K64" s="46">
        <v>0</v>
      </c>
      <c r="L64" s="10" t="s">
        <v>279</v>
      </c>
      <c r="M64" s="10" t="s">
        <v>22</v>
      </c>
    </row>
    <row r="65" spans="2:13" x14ac:dyDescent="0.25">
      <c r="B65" s="10" t="s">
        <v>150</v>
      </c>
      <c r="C65" s="10" t="s">
        <v>293</v>
      </c>
      <c r="D65" s="46">
        <v>0</v>
      </c>
      <c r="E65" s="46">
        <v>0</v>
      </c>
      <c r="F65" s="47">
        <v>0</v>
      </c>
      <c r="G65" s="47">
        <v>0</v>
      </c>
      <c r="H65" s="47">
        <v>0</v>
      </c>
      <c r="I65" s="10"/>
      <c r="J65" s="10"/>
      <c r="K65" s="46">
        <v>0</v>
      </c>
      <c r="L65" s="10" t="s">
        <v>279</v>
      </c>
      <c r="M65" s="10" t="s">
        <v>22</v>
      </c>
    </row>
    <row r="66" spans="2:13" x14ac:dyDescent="0.25">
      <c r="B66" s="10" t="s">
        <v>322</v>
      </c>
      <c r="C66" s="10" t="s">
        <v>226</v>
      </c>
      <c r="D66" s="46">
        <v>0</v>
      </c>
      <c r="E66" s="46">
        <v>0</v>
      </c>
      <c r="F66" s="47">
        <v>0</v>
      </c>
      <c r="G66" s="47">
        <v>0</v>
      </c>
      <c r="H66" s="47">
        <v>0</v>
      </c>
      <c r="I66" s="10"/>
      <c r="J66" s="10"/>
      <c r="K66" s="46">
        <v>0</v>
      </c>
      <c r="L66" s="10" t="s">
        <v>279</v>
      </c>
      <c r="M66" s="10" t="s">
        <v>22</v>
      </c>
    </row>
    <row r="67" spans="2:13" x14ac:dyDescent="0.25">
      <c r="B67" s="10" t="s">
        <v>323</v>
      </c>
      <c r="C67" s="10" t="s">
        <v>314</v>
      </c>
      <c r="D67" s="46">
        <v>0</v>
      </c>
      <c r="E67" s="46">
        <v>0</v>
      </c>
      <c r="F67" s="47">
        <v>0</v>
      </c>
      <c r="G67" s="47">
        <v>0</v>
      </c>
      <c r="H67" s="47">
        <v>0</v>
      </c>
      <c r="I67" s="10"/>
      <c r="J67" s="10"/>
      <c r="K67" s="46">
        <v>0</v>
      </c>
      <c r="L67" s="10" t="s">
        <v>279</v>
      </c>
      <c r="M67" s="10" t="s">
        <v>22</v>
      </c>
    </row>
    <row r="68" spans="2:13" x14ac:dyDescent="0.25">
      <c r="B68" s="10" t="s">
        <v>324</v>
      </c>
      <c r="C68" s="10" t="s">
        <v>293</v>
      </c>
      <c r="D68" s="46">
        <v>0</v>
      </c>
      <c r="E68" s="46">
        <v>0</v>
      </c>
      <c r="F68" s="47">
        <v>0</v>
      </c>
      <c r="G68" s="47">
        <v>0</v>
      </c>
      <c r="H68" s="47">
        <v>0</v>
      </c>
      <c r="I68" s="10"/>
      <c r="J68" s="10"/>
      <c r="K68" s="46">
        <v>0</v>
      </c>
      <c r="L68" s="10" t="s">
        <v>279</v>
      </c>
      <c r="M68" s="10" t="s">
        <v>22</v>
      </c>
    </row>
    <row r="69" spans="2:13" x14ac:dyDescent="0.25">
      <c r="B69" s="10" t="s">
        <v>325</v>
      </c>
      <c r="C69" s="10" t="s">
        <v>293</v>
      </c>
      <c r="D69" s="46">
        <v>0</v>
      </c>
      <c r="E69" s="46">
        <v>0</v>
      </c>
      <c r="F69" s="47">
        <v>0</v>
      </c>
      <c r="G69" s="47">
        <v>0</v>
      </c>
      <c r="H69" s="47">
        <v>0</v>
      </c>
      <c r="I69" s="10"/>
      <c r="J69" s="10"/>
      <c r="K69" s="46">
        <v>0</v>
      </c>
      <c r="L69" s="10" t="s">
        <v>279</v>
      </c>
      <c r="M69" s="10" t="s">
        <v>22</v>
      </c>
    </row>
    <row r="70" spans="2:13" x14ac:dyDescent="0.25">
      <c r="B70" s="10" t="s">
        <v>326</v>
      </c>
      <c r="C70" s="10" t="s">
        <v>327</v>
      </c>
      <c r="D70" s="46">
        <v>0</v>
      </c>
      <c r="E70" s="46">
        <v>0</v>
      </c>
      <c r="F70" s="47">
        <v>0</v>
      </c>
      <c r="G70" s="47">
        <v>0</v>
      </c>
      <c r="H70" s="47">
        <v>0</v>
      </c>
      <c r="I70" s="10"/>
      <c r="J70" s="10"/>
      <c r="K70" s="46">
        <v>0</v>
      </c>
      <c r="L70" s="10" t="s">
        <v>279</v>
      </c>
      <c r="M70" s="10" t="s">
        <v>22</v>
      </c>
    </row>
    <row r="71" spans="2:13" x14ac:dyDescent="0.25">
      <c r="B71" s="10" t="s">
        <v>328</v>
      </c>
      <c r="C71" s="10" t="s">
        <v>329</v>
      </c>
      <c r="D71" s="46">
        <v>0</v>
      </c>
      <c r="E71" s="46">
        <v>0</v>
      </c>
      <c r="F71" s="47">
        <v>0</v>
      </c>
      <c r="G71" s="47">
        <v>0</v>
      </c>
      <c r="H71" s="47">
        <v>0</v>
      </c>
      <c r="I71" s="10"/>
      <c r="J71" s="10"/>
      <c r="K71" s="46">
        <v>0</v>
      </c>
      <c r="L71" s="10" t="s">
        <v>279</v>
      </c>
      <c r="M71" s="10" t="s">
        <v>22</v>
      </c>
    </row>
    <row r="72" spans="2:13" x14ac:dyDescent="0.25">
      <c r="B72" s="10" t="s">
        <v>330</v>
      </c>
      <c r="C72" s="10" t="s">
        <v>331</v>
      </c>
      <c r="D72" s="46">
        <v>0</v>
      </c>
      <c r="E72" s="46">
        <v>0</v>
      </c>
      <c r="F72" s="47">
        <v>0</v>
      </c>
      <c r="G72" s="47">
        <v>0</v>
      </c>
      <c r="H72" s="47">
        <v>0</v>
      </c>
      <c r="I72" s="10"/>
      <c r="J72" s="10"/>
      <c r="K72" s="46">
        <v>0</v>
      </c>
      <c r="L72" s="10" t="s">
        <v>279</v>
      </c>
      <c r="M72" s="10" t="s">
        <v>22</v>
      </c>
    </row>
    <row r="73" spans="2:13" x14ac:dyDescent="0.25">
      <c r="B73" s="10" t="s">
        <v>332</v>
      </c>
      <c r="C73" s="10" t="s">
        <v>244</v>
      </c>
      <c r="D73" s="46">
        <v>0</v>
      </c>
      <c r="E73" s="46">
        <v>0</v>
      </c>
      <c r="F73" s="47">
        <v>0</v>
      </c>
      <c r="G73" s="47">
        <v>0</v>
      </c>
      <c r="H73" s="47">
        <v>0</v>
      </c>
      <c r="I73" s="10"/>
      <c r="J73" s="10"/>
      <c r="K73" s="46">
        <v>0</v>
      </c>
      <c r="L73" s="10" t="s">
        <v>279</v>
      </c>
      <c r="M73" s="10" t="s">
        <v>22</v>
      </c>
    </row>
  </sheetData>
  <mergeCells count="19">
    <mergeCell ref="B2:H2"/>
    <mergeCell ref="B5:C5"/>
    <mergeCell ref="D5:E5"/>
    <mergeCell ref="F5:G5"/>
    <mergeCell ref="H5:I5"/>
    <mergeCell ref="B6:C7"/>
    <mergeCell ref="D6:E7"/>
    <mergeCell ref="F6:G7"/>
    <mergeCell ref="H6:I7"/>
    <mergeCell ref="B8:C8"/>
    <mergeCell ref="D8:E8"/>
    <mergeCell ref="F8:G8"/>
    <mergeCell ref="H8:I8"/>
    <mergeCell ref="J8:K8"/>
    <mergeCell ref="B9:C10"/>
    <mergeCell ref="D9:E10"/>
    <mergeCell ref="F9:G10"/>
    <mergeCell ref="H9:I10"/>
    <mergeCell ref="J9:K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FormatPr defaultRowHeight="15" outlineLevelRow="0" outlineLevelCol="0" x14ac:dyDescent="55"/>
  <cols>
    <col min="1" max="1" width="3" customWidth="1"/>
    <col min="2" max="2" width="32" customWidth="1"/>
    <col min="3" max="3" width="8" customWidth="1"/>
    <col min="4" max="5" width="12" customWidth="1"/>
    <col min="6" max="8" width="14" customWidth="1"/>
  </cols>
  <sheetData>
    <row r="2" spans="2:8" x14ac:dyDescent="0.25">
      <c r="B2" s="29" t="s">
        <v>333</v>
      </c>
      <c r="C2" s="29"/>
      <c r="D2" s="29"/>
      <c r="E2" s="29"/>
      <c r="F2" s="29"/>
      <c r="G2" s="29"/>
      <c r="H2" s="29"/>
    </row>
    <row r="5" spans="2:8" x14ac:dyDescent="0.25">
      <c r="B5" s="48" t="s">
        <v>17</v>
      </c>
      <c r="C5" s="48"/>
      <c r="D5" s="48"/>
      <c r="E5" s="48"/>
      <c r="F5" s="48"/>
      <c r="G5" s="48"/>
      <c r="H5" s="48"/>
    </row>
    <row r="6" spans="2:8" x14ac:dyDescent="0.25">
      <c r="B6" s="9" t="s">
        <v>219</v>
      </c>
      <c r="C6" s="9" t="s">
        <v>220</v>
      </c>
      <c r="D6" s="9" t="s">
        <v>260</v>
      </c>
      <c r="E6" s="9" t="s">
        <v>261</v>
      </c>
      <c r="F6" s="9" t="s">
        <v>262</v>
      </c>
      <c r="G6" s="9" t="s">
        <v>9</v>
      </c>
      <c r="H6" s="9" t="s">
        <v>57</v>
      </c>
    </row>
    <row r="7" spans="2:8" x14ac:dyDescent="0.25">
      <c r="B7" s="10" t="s">
        <v>60</v>
      </c>
      <c r="C7" s="49" t="s">
        <v>226</v>
      </c>
      <c r="D7" s="46">
        <v>8</v>
      </c>
      <c r="E7" s="46">
        <v>64</v>
      </c>
      <c r="F7" s="47">
        <v>38630</v>
      </c>
      <c r="G7" s="47">
        <v>0</v>
      </c>
      <c r="H7" s="49" t="s">
        <v>61</v>
      </c>
    </row>
    <row r="8" spans="2:8" x14ac:dyDescent="0.25">
      <c r="B8" s="10" t="s">
        <v>63</v>
      </c>
      <c r="C8" s="49" t="s">
        <v>227</v>
      </c>
      <c r="D8" s="46">
        <v>7</v>
      </c>
      <c r="E8" s="46">
        <v>63</v>
      </c>
      <c r="F8" s="47">
        <v>31500</v>
      </c>
      <c r="G8" s="47">
        <v>9600</v>
      </c>
      <c r="H8" s="49" t="s">
        <v>64</v>
      </c>
    </row>
    <row r="9" spans="2:8" x14ac:dyDescent="0.25">
      <c r="B9" s="10" t="s">
        <v>69</v>
      </c>
      <c r="C9" s="49" t="s">
        <v>227</v>
      </c>
      <c r="D9" s="46">
        <v>18</v>
      </c>
      <c r="E9" s="46">
        <v>57</v>
      </c>
      <c r="F9" s="47">
        <v>25900</v>
      </c>
      <c r="G9" s="47">
        <v>6600</v>
      </c>
      <c r="H9" s="49" t="s">
        <v>70</v>
      </c>
    </row>
    <row r="10" spans="2:8" x14ac:dyDescent="0.25">
      <c r="B10" s="10" t="s">
        <v>66</v>
      </c>
      <c r="C10" s="49" t="s">
        <v>227</v>
      </c>
      <c r="D10" s="46">
        <v>6</v>
      </c>
      <c r="E10" s="46">
        <v>43</v>
      </c>
      <c r="F10" s="47">
        <v>25050</v>
      </c>
      <c r="G10" s="47">
        <v>0</v>
      </c>
      <c r="H10" s="49" t="s">
        <v>99</v>
      </c>
    </row>
    <row r="11" spans="2:8" x14ac:dyDescent="0.25">
      <c r="B11" s="10" t="s">
        <v>72</v>
      </c>
      <c r="C11" s="49" t="s">
        <v>227</v>
      </c>
      <c r="D11" s="46">
        <v>16</v>
      </c>
      <c r="E11" s="46">
        <v>37</v>
      </c>
      <c r="F11" s="47">
        <v>21000</v>
      </c>
      <c r="G11" s="47">
        <v>1800</v>
      </c>
      <c r="H11" s="49" t="s">
        <v>73</v>
      </c>
    </row>
    <row r="14" spans="2:8" x14ac:dyDescent="0.25">
      <c r="B14" s="48" t="s">
        <v>18</v>
      </c>
      <c r="C14" s="48"/>
      <c r="D14" s="48"/>
      <c r="E14" s="48"/>
      <c r="F14" s="48"/>
      <c r="G14" s="48"/>
      <c r="H14" s="48"/>
    </row>
    <row r="15" spans="2:8" x14ac:dyDescent="0.25">
      <c r="B15" s="9" t="s">
        <v>219</v>
      </c>
      <c r="C15" s="9" t="s">
        <v>220</v>
      </c>
      <c r="D15" s="9" t="s">
        <v>260</v>
      </c>
      <c r="E15" s="9" t="s">
        <v>261</v>
      </c>
      <c r="F15" s="9" t="s">
        <v>262</v>
      </c>
      <c r="G15" s="9" t="s">
        <v>9</v>
      </c>
      <c r="H15" s="9" t="s">
        <v>57</v>
      </c>
    </row>
    <row r="16" spans="2:8" x14ac:dyDescent="0.25">
      <c r="B16" s="10" t="s">
        <v>76</v>
      </c>
      <c r="C16" s="49" t="s">
        <v>293</v>
      </c>
      <c r="D16" s="46">
        <v>1</v>
      </c>
      <c r="E16" s="46">
        <v>30</v>
      </c>
      <c r="F16" s="47">
        <v>18000</v>
      </c>
      <c r="G16" s="47">
        <v>0</v>
      </c>
      <c r="H16" s="49" t="s">
        <v>77</v>
      </c>
    </row>
    <row r="17" spans="2:8" x14ac:dyDescent="0.25">
      <c r="B17" s="10" t="s">
        <v>86</v>
      </c>
      <c r="C17" s="49" t="s">
        <v>293</v>
      </c>
      <c r="D17" s="46">
        <v>11</v>
      </c>
      <c r="E17" s="46">
        <v>25</v>
      </c>
      <c r="F17" s="47">
        <v>15330</v>
      </c>
      <c r="G17" s="47">
        <v>3000</v>
      </c>
      <c r="H17" s="49" t="s">
        <v>87</v>
      </c>
    </row>
    <row r="18" spans="2:8" x14ac:dyDescent="0.25">
      <c r="B18" s="10" t="s">
        <v>81</v>
      </c>
      <c r="C18" s="49" t="s">
        <v>293</v>
      </c>
      <c r="D18" s="46">
        <v>4</v>
      </c>
      <c r="E18" s="46">
        <v>23</v>
      </c>
      <c r="F18" s="47">
        <v>12600</v>
      </c>
      <c r="G18" s="47">
        <v>3000</v>
      </c>
      <c r="H18" s="49" t="s">
        <v>61</v>
      </c>
    </row>
    <row r="19" spans="2:8" x14ac:dyDescent="0.25">
      <c r="B19" s="10" t="s">
        <v>83</v>
      </c>
      <c r="C19" s="49" t="s">
        <v>232</v>
      </c>
      <c r="D19" s="46">
        <v>10</v>
      </c>
      <c r="E19" s="46">
        <v>30</v>
      </c>
      <c r="F19" s="47">
        <v>11100</v>
      </c>
      <c r="G19" s="47">
        <v>0</v>
      </c>
      <c r="H19" s="49" t="s">
        <v>70</v>
      </c>
    </row>
    <row r="20" spans="2:8" x14ac:dyDescent="0.25">
      <c r="B20" s="10" t="s">
        <v>84</v>
      </c>
      <c r="C20" s="49" t="s">
        <v>248</v>
      </c>
      <c r="D20" s="46">
        <v>3</v>
      </c>
      <c r="E20" s="46">
        <v>20</v>
      </c>
      <c r="F20" s="47">
        <v>10800</v>
      </c>
      <c r="G20" s="47">
        <v>0</v>
      </c>
      <c r="H20" s="49" t="s">
        <v>77</v>
      </c>
    </row>
  </sheetData>
  <mergeCells count="3">
    <mergeCell ref="B2:H2"/>
    <mergeCell ref="B5:H5"/>
    <mergeCell ref="B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7"/>
  <sheetFormatPr defaultRowHeight="15" outlineLevelRow="0" outlineLevelCol="0" x14ac:dyDescent="55"/>
  <cols>
    <col min="1" max="1" width="3" customWidth="1"/>
    <col min="2" max="2" width="30" customWidth="1"/>
    <col min="3" max="5" width="14" customWidth="1"/>
    <col min="6" max="7" width="12" customWidth="1"/>
    <col min="8" max="8" width="14" customWidth="1"/>
    <col min="9" max="9" width="20" customWidth="1"/>
  </cols>
  <sheetData>
    <row r="2" spans="2:9" x14ac:dyDescent="0.25">
      <c r="B2" s="29" t="s">
        <v>334</v>
      </c>
      <c r="C2" s="29"/>
      <c r="D2" s="29"/>
      <c r="E2" s="29"/>
      <c r="F2" s="29"/>
      <c r="G2" s="29"/>
      <c r="H2" s="29"/>
      <c r="I2" s="29"/>
    </row>
    <row r="3" spans="2:9" x14ac:dyDescent="0.25">
      <c r="B3" s="50" t="s">
        <v>335</v>
      </c>
      <c r="C3" s="50"/>
      <c r="D3" s="50"/>
      <c r="E3" s="50"/>
      <c r="F3" s="50"/>
      <c r="G3" s="50"/>
      <c r="H3" s="50"/>
      <c r="I3" s="50"/>
    </row>
    <row r="5" spans="2:9" x14ac:dyDescent="0.25">
      <c r="B5" s="3" t="s">
        <v>336</v>
      </c>
      <c r="C5" s="3"/>
      <c r="D5" s="3" t="s">
        <v>337</v>
      </c>
      <c r="E5" s="3"/>
      <c r="F5" s="3" t="s">
        <v>338</v>
      </c>
      <c r="G5" s="3"/>
      <c r="H5" s="3" t="s">
        <v>339</v>
      </c>
      <c r="I5" s="3"/>
    </row>
    <row r="6" spans="2:9" x14ac:dyDescent="0.25">
      <c r="B6" s="6">
        <v>79</v>
      </c>
      <c r="C6" s="6"/>
      <c r="D6" s="6">
        <v>6</v>
      </c>
      <c r="E6" s="6"/>
      <c r="F6" s="6">
        <v>14</v>
      </c>
      <c r="G6" s="6"/>
      <c r="H6" s="6">
        <v>16</v>
      </c>
      <c r="I6" s="6"/>
    </row>
    <row r="7" spans="2:9" x14ac:dyDescent="0.25">
      <c r="B7" s="6"/>
      <c r="C7" s="6"/>
      <c r="D7" s="6"/>
      <c r="E7" s="6"/>
      <c r="F7" s="6"/>
      <c r="G7" s="6"/>
      <c r="H7" s="6"/>
      <c r="I7" s="6"/>
    </row>
    <row r="10" spans="2:9" x14ac:dyDescent="0.25">
      <c r="B10" s="51" t="s">
        <v>340</v>
      </c>
      <c r="C10" s="51"/>
      <c r="D10" s="51"/>
      <c r="E10" s="51"/>
      <c r="F10" s="51"/>
      <c r="G10" s="51"/>
      <c r="H10" s="51"/>
      <c r="I10" s="51"/>
    </row>
    <row r="12" spans="2:6" x14ac:dyDescent="0.25">
      <c r="B12" s="9" t="s">
        <v>341</v>
      </c>
      <c r="C12" s="9" t="s">
        <v>342</v>
      </c>
      <c r="D12" s="9" t="s">
        <v>343</v>
      </c>
      <c r="E12" s="9" t="s">
        <v>344</v>
      </c>
      <c r="F12" s="9" t="s">
        <v>345</v>
      </c>
    </row>
    <row r="13" spans="2:6" x14ac:dyDescent="0.25">
      <c r="B13" s="10" t="s">
        <v>346</v>
      </c>
      <c r="C13" s="46">
        <v>4</v>
      </c>
      <c r="D13" s="46">
        <v>0</v>
      </c>
      <c r="E13" s="52">
        <v>4</v>
      </c>
      <c r="F13" s="53" t="s">
        <v>26</v>
      </c>
    </row>
    <row r="14" spans="2:6" x14ac:dyDescent="0.25">
      <c r="B14" s="10" t="s">
        <v>347</v>
      </c>
      <c r="C14" s="46">
        <v>3</v>
      </c>
      <c r="D14" s="46">
        <v>3</v>
      </c>
      <c r="E14" s="52">
        <v>6</v>
      </c>
      <c r="F14" s="54" t="s">
        <v>348</v>
      </c>
    </row>
    <row r="15" spans="2:6" x14ac:dyDescent="0.25">
      <c r="B15" s="10" t="s">
        <v>349</v>
      </c>
      <c r="C15" s="46">
        <v>9</v>
      </c>
      <c r="D15" s="46">
        <v>3</v>
      </c>
      <c r="E15" s="52">
        <v>12</v>
      </c>
      <c r="F15" s="54" t="s">
        <v>350</v>
      </c>
    </row>
    <row r="16" spans="2:6" x14ac:dyDescent="0.25">
      <c r="B16" s="10" t="s">
        <v>351</v>
      </c>
      <c r="C16" s="46">
        <v>8</v>
      </c>
      <c r="D16" s="46">
        <v>8</v>
      </c>
      <c r="E16" s="52">
        <v>16</v>
      </c>
      <c r="F16" s="54" t="s">
        <v>352</v>
      </c>
    </row>
    <row r="17" spans="2:6" x14ac:dyDescent="0.25">
      <c r="B17" s="10" t="s">
        <v>353</v>
      </c>
      <c r="C17" s="46">
        <v>3</v>
      </c>
      <c r="D17" s="46">
        <v>5</v>
      </c>
      <c r="E17" s="52">
        <v>8</v>
      </c>
      <c r="F17" s="55" t="s">
        <v>354</v>
      </c>
    </row>
    <row r="18" spans="2:6" x14ac:dyDescent="0.25">
      <c r="B18" s="10" t="s">
        <v>355</v>
      </c>
      <c r="C18" s="46">
        <v>0</v>
      </c>
      <c r="D18" s="46">
        <v>6</v>
      </c>
      <c r="E18" s="52">
        <v>6</v>
      </c>
      <c r="F18" s="55" t="s">
        <v>356</v>
      </c>
    </row>
    <row r="19" spans="2:6" x14ac:dyDescent="0.25">
      <c r="B19" s="10" t="s">
        <v>357</v>
      </c>
      <c r="C19" s="46">
        <v>4</v>
      </c>
      <c r="D19" s="46">
        <v>3</v>
      </c>
      <c r="E19" s="52">
        <v>7</v>
      </c>
      <c r="F19" s="54" t="s">
        <v>358</v>
      </c>
    </row>
    <row r="20" spans="2:6" x14ac:dyDescent="0.25">
      <c r="B20" s="10" t="s">
        <v>359</v>
      </c>
      <c r="C20" s="46">
        <v>7</v>
      </c>
      <c r="D20" s="46">
        <v>7</v>
      </c>
      <c r="E20" s="52">
        <v>14</v>
      </c>
      <c r="F20" s="54" t="s">
        <v>360</v>
      </c>
    </row>
    <row r="21" spans="2:6" x14ac:dyDescent="0.25">
      <c r="B21" s="10" t="s">
        <v>361</v>
      </c>
      <c r="C21" s="46">
        <v>3</v>
      </c>
      <c r="D21" s="46">
        <v>3</v>
      </c>
      <c r="E21" s="52">
        <v>6</v>
      </c>
      <c r="F21" s="55" t="s">
        <v>354</v>
      </c>
    </row>
    <row r="22" spans="2:6" x14ac:dyDescent="0.25">
      <c r="B22" s="56" t="s">
        <v>362</v>
      </c>
      <c r="C22" s="57">
        <v>41</v>
      </c>
      <c r="D22" s="57">
        <v>38</v>
      </c>
      <c r="E22" s="57">
        <v>79</v>
      </c>
      <c r="F22" s="58" t="s">
        <v>22</v>
      </c>
    </row>
    <row r="25" spans="2:9" x14ac:dyDescent="0.25">
      <c r="B25" s="59" t="s">
        <v>363</v>
      </c>
      <c r="C25" s="59"/>
      <c r="D25" s="59"/>
      <c r="E25" s="59"/>
      <c r="F25" s="59"/>
      <c r="G25" s="59"/>
      <c r="H25" s="59"/>
      <c r="I25" s="59"/>
    </row>
    <row r="27" spans="2:9" x14ac:dyDescent="0.25">
      <c r="B27" s="9" t="s">
        <v>46</v>
      </c>
      <c r="C27" s="9" t="s">
        <v>219</v>
      </c>
      <c r="D27" s="9" t="s">
        <v>220</v>
      </c>
      <c r="E27" s="9" t="s">
        <v>221</v>
      </c>
      <c r="F27" s="9" t="s">
        <v>260</v>
      </c>
      <c r="G27" s="9" t="s">
        <v>261</v>
      </c>
      <c r="H27" s="9" t="s">
        <v>262</v>
      </c>
      <c r="I27" s="9" t="s">
        <v>264</v>
      </c>
    </row>
    <row r="28" spans="2:9" x14ac:dyDescent="0.25">
      <c r="B28" s="10" t="s">
        <v>17</v>
      </c>
      <c r="C28" s="10" t="s">
        <v>132</v>
      </c>
      <c r="D28" s="49" t="s">
        <v>242</v>
      </c>
      <c r="E28" s="49" t="s">
        <v>133</v>
      </c>
      <c r="F28" s="46">
        <v>2</v>
      </c>
      <c r="G28" s="46">
        <v>11</v>
      </c>
      <c r="H28" s="47">
        <v>4800</v>
      </c>
      <c r="I28" s="49" t="s">
        <v>266</v>
      </c>
    </row>
    <row r="29" spans="2:9" x14ac:dyDescent="0.25">
      <c r="B29" s="10" t="s">
        <v>17</v>
      </c>
      <c r="C29" s="10" t="s">
        <v>110</v>
      </c>
      <c r="D29" s="49" t="s">
        <v>242</v>
      </c>
      <c r="E29" s="49" t="s">
        <v>103</v>
      </c>
      <c r="F29" s="46">
        <v>2</v>
      </c>
      <c r="G29" s="46">
        <v>16</v>
      </c>
      <c r="H29" s="47">
        <v>6600</v>
      </c>
      <c r="I29" s="49" t="s">
        <v>266</v>
      </c>
    </row>
    <row r="30" spans="2:9" x14ac:dyDescent="0.25">
      <c r="B30" s="10" t="s">
        <v>17</v>
      </c>
      <c r="C30" s="10" t="s">
        <v>168</v>
      </c>
      <c r="D30" s="49" t="s">
        <v>249</v>
      </c>
      <c r="E30" s="49" t="s">
        <v>82</v>
      </c>
      <c r="F30" s="46">
        <v>1</v>
      </c>
      <c r="G30" s="46">
        <v>1</v>
      </c>
      <c r="H30" s="47">
        <v>675</v>
      </c>
      <c r="I30" s="49" t="s">
        <v>266</v>
      </c>
    </row>
    <row r="31" spans="2:9" x14ac:dyDescent="0.25">
      <c r="B31" s="10" t="s">
        <v>18</v>
      </c>
      <c r="C31" s="10" t="s">
        <v>202</v>
      </c>
      <c r="D31" s="49" t="s">
        <v>232</v>
      </c>
      <c r="E31" s="49" t="s">
        <v>73</v>
      </c>
      <c r="F31" s="46">
        <v>1</v>
      </c>
      <c r="G31" s="46">
        <v>1</v>
      </c>
      <c r="H31" s="47">
        <v>0</v>
      </c>
      <c r="I31" s="49" t="s">
        <v>266</v>
      </c>
    </row>
    <row r="32" spans="2:9" x14ac:dyDescent="0.25">
      <c r="B32" s="10" t="s">
        <v>18</v>
      </c>
      <c r="C32" s="10" t="s">
        <v>76</v>
      </c>
      <c r="D32" s="49" t="s">
        <v>293</v>
      </c>
      <c r="E32" s="49" t="s">
        <v>77</v>
      </c>
      <c r="F32" s="46">
        <v>1</v>
      </c>
      <c r="G32" s="46">
        <v>30</v>
      </c>
      <c r="H32" s="47">
        <v>18000</v>
      </c>
      <c r="I32" s="49" t="s">
        <v>266</v>
      </c>
    </row>
    <row r="33" spans="2:9" x14ac:dyDescent="0.25">
      <c r="B33" s="10" t="s">
        <v>18</v>
      </c>
      <c r="C33" s="10" t="s">
        <v>203</v>
      </c>
      <c r="D33" s="49" t="s">
        <v>238</v>
      </c>
      <c r="E33" s="49" t="s">
        <v>137</v>
      </c>
      <c r="F33" s="46">
        <v>1</v>
      </c>
      <c r="G33" s="46">
        <v>1</v>
      </c>
      <c r="H33" s="47">
        <v>0</v>
      </c>
      <c r="I33" s="49" t="s">
        <v>266</v>
      </c>
    </row>
    <row r="36" spans="2:9" x14ac:dyDescent="0.25">
      <c r="B36" s="59" t="s">
        <v>364</v>
      </c>
      <c r="C36" s="59"/>
      <c r="D36" s="59"/>
      <c r="E36" s="59"/>
      <c r="F36" s="59"/>
      <c r="G36" s="59"/>
      <c r="H36" s="59"/>
      <c r="I36" s="59"/>
    </row>
    <row r="38" spans="2:7" x14ac:dyDescent="0.25">
      <c r="B38" s="9" t="s">
        <v>365</v>
      </c>
      <c r="C38" s="9" t="s">
        <v>46</v>
      </c>
      <c r="D38" s="9" t="s">
        <v>219</v>
      </c>
      <c r="E38" s="9" t="s">
        <v>260</v>
      </c>
      <c r="F38" s="9" t="s">
        <v>261</v>
      </c>
      <c r="G38" s="9" t="s">
        <v>262</v>
      </c>
    </row>
    <row r="39" spans="2:7" x14ac:dyDescent="0.25">
      <c r="B39" s="60" t="s">
        <v>133</v>
      </c>
      <c r="C39" s="10" t="s">
        <v>17</v>
      </c>
      <c r="D39" s="10" t="s">
        <v>132</v>
      </c>
      <c r="E39" s="46">
        <v>2</v>
      </c>
      <c r="F39" s="46">
        <v>11</v>
      </c>
      <c r="G39" s="47">
        <v>4800</v>
      </c>
    </row>
    <row r="40" spans="2:7" x14ac:dyDescent="0.25">
      <c r="B40" s="60" t="s">
        <v>103</v>
      </c>
      <c r="C40" s="10" t="s">
        <v>17</v>
      </c>
      <c r="D40" s="10" t="s">
        <v>110</v>
      </c>
      <c r="E40" s="46">
        <v>2</v>
      </c>
      <c r="F40" s="46">
        <v>16</v>
      </c>
      <c r="G40" s="47">
        <v>6600</v>
      </c>
    </row>
    <row r="41" spans="2:7" x14ac:dyDescent="0.25">
      <c r="B41" s="60" t="s">
        <v>73</v>
      </c>
      <c r="C41" s="10" t="s">
        <v>18</v>
      </c>
      <c r="D41" s="10" t="s">
        <v>202</v>
      </c>
      <c r="E41" s="46">
        <v>1</v>
      </c>
      <c r="F41" s="46">
        <v>1</v>
      </c>
      <c r="G41" s="47">
        <v>0</v>
      </c>
    </row>
    <row r="42" spans="2:7" x14ac:dyDescent="0.25">
      <c r="B42" s="60" t="s">
        <v>77</v>
      </c>
      <c r="C42" s="10" t="s">
        <v>18</v>
      </c>
      <c r="D42" s="10" t="s">
        <v>76</v>
      </c>
      <c r="E42" s="46">
        <v>1</v>
      </c>
      <c r="F42" s="46">
        <v>30</v>
      </c>
      <c r="G42" s="47">
        <v>18000</v>
      </c>
    </row>
    <row r="43" spans="2:7" x14ac:dyDescent="0.25">
      <c r="B43" s="60" t="s">
        <v>137</v>
      </c>
      <c r="C43" s="10" t="s">
        <v>18</v>
      </c>
      <c r="D43" s="10" t="s">
        <v>203</v>
      </c>
      <c r="E43" s="46">
        <v>1</v>
      </c>
      <c r="F43" s="46">
        <v>1</v>
      </c>
      <c r="G43" s="47">
        <v>0</v>
      </c>
    </row>
    <row r="44" spans="2:7" x14ac:dyDescent="0.25">
      <c r="B44" s="60" t="s">
        <v>82</v>
      </c>
      <c r="C44" s="10" t="s">
        <v>17</v>
      </c>
      <c r="D44" s="10" t="s">
        <v>168</v>
      </c>
      <c r="E44" s="46">
        <v>1</v>
      </c>
      <c r="F44" s="46">
        <v>1</v>
      </c>
      <c r="G44" s="47">
        <v>675</v>
      </c>
    </row>
    <row r="45" spans="2:7" x14ac:dyDescent="0.25">
      <c r="B45" s="60" t="s">
        <v>205</v>
      </c>
      <c r="C45" s="10" t="s">
        <v>17</v>
      </c>
      <c r="D45" s="10" t="s">
        <v>204</v>
      </c>
      <c r="E45" s="46">
        <v>1</v>
      </c>
      <c r="F45" s="46">
        <v>1</v>
      </c>
      <c r="G45" s="47">
        <v>0</v>
      </c>
    </row>
    <row r="46" spans="2:7" x14ac:dyDescent="0.25">
      <c r="B46" s="60" t="s">
        <v>65</v>
      </c>
      <c r="C46" s="10" t="s">
        <v>18</v>
      </c>
      <c r="D46" s="10" t="s">
        <v>206</v>
      </c>
      <c r="E46" s="46">
        <v>1</v>
      </c>
      <c r="F46" s="46">
        <v>1</v>
      </c>
      <c r="G46" s="47">
        <v>0</v>
      </c>
    </row>
    <row r="47" spans="2:7" x14ac:dyDescent="0.25">
      <c r="B47" s="60" t="s">
        <v>80</v>
      </c>
      <c r="C47" s="10" t="s">
        <v>17</v>
      </c>
      <c r="D47" s="10" t="s">
        <v>207</v>
      </c>
      <c r="E47" s="46">
        <v>1</v>
      </c>
      <c r="F47" s="46">
        <v>1</v>
      </c>
      <c r="G47" s="47">
        <v>0</v>
      </c>
    </row>
    <row r="48" spans="2:7" x14ac:dyDescent="0.25">
      <c r="B48" s="60" t="s">
        <v>131</v>
      </c>
      <c r="C48" s="10" t="s">
        <v>18</v>
      </c>
      <c r="D48" s="10" t="s">
        <v>172</v>
      </c>
      <c r="E48" s="46">
        <v>1</v>
      </c>
      <c r="F48" s="46">
        <v>1</v>
      </c>
      <c r="G48" s="47">
        <v>600</v>
      </c>
    </row>
    <row r="49" spans="2:7" x14ac:dyDescent="0.25">
      <c r="B49" s="60" t="s">
        <v>89</v>
      </c>
      <c r="C49" s="10" t="s">
        <v>18</v>
      </c>
      <c r="D49" s="10" t="s">
        <v>84</v>
      </c>
      <c r="E49" s="46">
        <v>3</v>
      </c>
      <c r="F49" s="46">
        <v>20</v>
      </c>
      <c r="G49" s="47">
        <v>10800</v>
      </c>
    </row>
    <row r="50" spans="2:7" x14ac:dyDescent="0.25">
      <c r="B50" s="60" t="s">
        <v>89</v>
      </c>
      <c r="C50" s="10" t="s">
        <v>18</v>
      </c>
      <c r="D50" s="10" t="s">
        <v>208</v>
      </c>
      <c r="E50" s="46">
        <v>1</v>
      </c>
      <c r="F50" s="46">
        <v>1</v>
      </c>
      <c r="G50" s="47">
        <v>0</v>
      </c>
    </row>
    <row r="51" spans="2:7" x14ac:dyDescent="0.25">
      <c r="B51" s="60" t="s">
        <v>101</v>
      </c>
      <c r="C51" s="10" t="s">
        <v>18</v>
      </c>
      <c r="D51" s="10" t="s">
        <v>142</v>
      </c>
      <c r="E51" s="46">
        <v>4</v>
      </c>
      <c r="F51" s="46">
        <v>9</v>
      </c>
      <c r="G51" s="47">
        <v>4200</v>
      </c>
    </row>
    <row r="52" spans="2:7" x14ac:dyDescent="0.25">
      <c r="B52" s="60" t="s">
        <v>116</v>
      </c>
      <c r="C52" s="10" t="s">
        <v>17</v>
      </c>
      <c r="D52" s="10" t="s">
        <v>209</v>
      </c>
      <c r="E52" s="46">
        <v>2</v>
      </c>
      <c r="F52" s="46">
        <v>2</v>
      </c>
      <c r="G52" s="47">
        <v>0</v>
      </c>
    </row>
    <row r="53" spans="2:7" x14ac:dyDescent="0.25">
      <c r="B53" s="60" t="s">
        <v>116</v>
      </c>
      <c r="C53" s="10" t="s">
        <v>17</v>
      </c>
      <c r="D53" s="10" t="s">
        <v>173</v>
      </c>
      <c r="E53" s="46">
        <v>1</v>
      </c>
      <c r="F53" s="46">
        <v>1</v>
      </c>
      <c r="G53" s="47">
        <v>600</v>
      </c>
    </row>
    <row r="54" spans="2:7" x14ac:dyDescent="0.25">
      <c r="B54" s="60" t="s">
        <v>135</v>
      </c>
      <c r="C54" s="10" t="s">
        <v>18</v>
      </c>
      <c r="D54" s="10" t="s">
        <v>134</v>
      </c>
      <c r="E54" s="46">
        <v>2</v>
      </c>
      <c r="F54" s="46">
        <v>10</v>
      </c>
      <c r="G54" s="47">
        <v>4800</v>
      </c>
    </row>
    <row r="55" spans="2:7" x14ac:dyDescent="0.25">
      <c r="B55" s="60" t="s">
        <v>135</v>
      </c>
      <c r="C55" s="10" t="s">
        <v>17</v>
      </c>
      <c r="D55" s="10" t="s">
        <v>174</v>
      </c>
      <c r="E55" s="46">
        <v>1</v>
      </c>
      <c r="F55" s="46">
        <v>1</v>
      </c>
      <c r="G55" s="47">
        <v>600</v>
      </c>
    </row>
    <row r="56" spans="2:7" x14ac:dyDescent="0.25">
      <c r="B56" s="60" t="s">
        <v>135</v>
      </c>
      <c r="C56" s="10" t="s">
        <v>18</v>
      </c>
      <c r="D56" s="10" t="s">
        <v>210</v>
      </c>
      <c r="E56" s="46">
        <v>1</v>
      </c>
      <c r="F56" s="46">
        <v>2</v>
      </c>
      <c r="G56" s="47">
        <v>0</v>
      </c>
    </row>
    <row r="57" spans="2:7" x14ac:dyDescent="0.25">
      <c r="B57" s="60" t="s">
        <v>106</v>
      </c>
      <c r="C57" s="10" t="s">
        <v>17</v>
      </c>
      <c r="D57" s="10" t="s">
        <v>138</v>
      </c>
      <c r="E57" s="46">
        <v>2</v>
      </c>
      <c r="F57" s="46">
        <v>10</v>
      </c>
      <c r="G57" s="47">
        <v>4800</v>
      </c>
    </row>
    <row r="58" spans="2:7" x14ac:dyDescent="0.25">
      <c r="B58" s="60" t="s">
        <v>106</v>
      </c>
      <c r="C58" s="10" t="s">
        <v>17</v>
      </c>
      <c r="D58" s="10" t="s">
        <v>136</v>
      </c>
      <c r="E58" s="46">
        <v>2</v>
      </c>
      <c r="F58" s="46">
        <v>10</v>
      </c>
      <c r="G58" s="47">
        <v>4800</v>
      </c>
    </row>
    <row r="59" spans="2:7" x14ac:dyDescent="0.25">
      <c r="B59" s="60" t="s">
        <v>212</v>
      </c>
      <c r="C59" s="10" t="s">
        <v>18</v>
      </c>
      <c r="D59" s="10" t="s">
        <v>211</v>
      </c>
      <c r="E59" s="46">
        <v>1</v>
      </c>
      <c r="F59" s="46">
        <v>1</v>
      </c>
      <c r="G59" s="47">
        <v>0</v>
      </c>
    </row>
    <row r="60" spans="2:7" x14ac:dyDescent="0.25">
      <c r="B60" s="60" t="s">
        <v>292</v>
      </c>
      <c r="C60" s="10" t="s">
        <v>18</v>
      </c>
      <c r="D60" s="10" t="s">
        <v>160</v>
      </c>
      <c r="E60" s="46">
        <v>3</v>
      </c>
      <c r="F60" s="46">
        <v>5</v>
      </c>
      <c r="G60" s="47">
        <v>1225</v>
      </c>
    </row>
    <row r="61" spans="2:7" x14ac:dyDescent="0.25">
      <c r="B61" s="60" t="s">
        <v>93</v>
      </c>
      <c r="C61" s="10" t="s">
        <v>17</v>
      </c>
      <c r="D61" s="10" t="s">
        <v>114</v>
      </c>
      <c r="E61" s="46">
        <v>3</v>
      </c>
      <c r="F61" s="46">
        <v>12</v>
      </c>
      <c r="G61" s="47">
        <v>6075</v>
      </c>
    </row>
    <row r="62" spans="2:7" x14ac:dyDescent="0.25">
      <c r="B62" s="60" t="s">
        <v>154</v>
      </c>
      <c r="C62" s="10" t="s">
        <v>17</v>
      </c>
      <c r="D62" s="10" t="s">
        <v>163</v>
      </c>
      <c r="E62" s="46">
        <v>1</v>
      </c>
      <c r="F62" s="46">
        <v>2</v>
      </c>
      <c r="G62" s="47">
        <v>1200</v>
      </c>
    </row>
    <row r="63" spans="2:7" x14ac:dyDescent="0.25">
      <c r="B63" s="60" t="s">
        <v>214</v>
      </c>
      <c r="C63" s="10" t="s">
        <v>17</v>
      </c>
      <c r="D63" s="10" t="s">
        <v>213</v>
      </c>
      <c r="E63" s="46">
        <v>1</v>
      </c>
      <c r="F63" s="46">
        <v>2</v>
      </c>
      <c r="G63" s="47">
        <v>0</v>
      </c>
    </row>
    <row r="64" spans="2:7" x14ac:dyDescent="0.25">
      <c r="B64" s="60" t="s">
        <v>295</v>
      </c>
      <c r="C64" s="10" t="s">
        <v>18</v>
      </c>
      <c r="D64" s="10" t="s">
        <v>97</v>
      </c>
      <c r="E64" s="46">
        <v>4</v>
      </c>
      <c r="F64" s="46">
        <v>20</v>
      </c>
      <c r="G64" s="47">
        <v>9600</v>
      </c>
    </row>
    <row r="65" spans="2:7" x14ac:dyDescent="0.25">
      <c r="B65" s="60" t="s">
        <v>176</v>
      </c>
      <c r="C65" s="10" t="s">
        <v>17</v>
      </c>
      <c r="D65" s="10" t="s">
        <v>175</v>
      </c>
      <c r="E65" s="46">
        <v>1</v>
      </c>
      <c r="F65" s="46">
        <v>1</v>
      </c>
      <c r="G65" s="47">
        <v>600</v>
      </c>
    </row>
    <row r="66" spans="2:7" x14ac:dyDescent="0.25">
      <c r="B66" s="60" t="s">
        <v>304</v>
      </c>
      <c r="C66" s="10" t="s">
        <v>18</v>
      </c>
      <c r="D66" s="10" t="s">
        <v>130</v>
      </c>
      <c r="E66" s="46">
        <v>4</v>
      </c>
      <c r="F66" s="46">
        <v>11</v>
      </c>
      <c r="G66" s="47">
        <v>4800</v>
      </c>
    </row>
    <row r="67" spans="2:7" x14ac:dyDescent="0.25">
      <c r="B67" s="60" t="s">
        <v>301</v>
      </c>
      <c r="C67" s="10" t="s">
        <v>18</v>
      </c>
      <c r="D67" s="10" t="s">
        <v>128</v>
      </c>
      <c r="E67" s="46">
        <v>3</v>
      </c>
      <c r="F67" s="46">
        <v>11</v>
      </c>
      <c r="G67" s="47">
        <v>5400</v>
      </c>
    </row>
    <row r="68" spans="2:7" x14ac:dyDescent="0.25">
      <c r="B68" s="60" t="s">
        <v>301</v>
      </c>
      <c r="C68" s="10" t="s">
        <v>18</v>
      </c>
      <c r="D68" s="10" t="s">
        <v>146</v>
      </c>
      <c r="E68" s="46">
        <v>3</v>
      </c>
      <c r="F68" s="46">
        <v>5</v>
      </c>
      <c r="G68" s="47">
        <v>2400</v>
      </c>
    </row>
    <row r="69" spans="2:7" x14ac:dyDescent="0.25">
      <c r="B69" s="60" t="s">
        <v>155</v>
      </c>
      <c r="C69" s="10" t="s">
        <v>18</v>
      </c>
      <c r="D69" s="10" t="s">
        <v>107</v>
      </c>
      <c r="E69" s="46">
        <v>6</v>
      </c>
      <c r="F69" s="46">
        <v>17</v>
      </c>
      <c r="G69" s="47">
        <v>7025</v>
      </c>
    </row>
    <row r="70" spans="2:7" x14ac:dyDescent="0.25">
      <c r="B70" s="60" t="s">
        <v>216</v>
      </c>
      <c r="C70" s="10" t="s">
        <v>18</v>
      </c>
      <c r="D70" s="10" t="s">
        <v>215</v>
      </c>
      <c r="E70" s="46">
        <v>1</v>
      </c>
      <c r="F70" s="46">
        <v>1</v>
      </c>
      <c r="G70" s="47">
        <v>0</v>
      </c>
    </row>
    <row r="71" spans="2:7" x14ac:dyDescent="0.25">
      <c r="B71" s="60" t="s">
        <v>121</v>
      </c>
      <c r="C71" s="10" t="s">
        <v>18</v>
      </c>
      <c r="D71" s="10" t="s">
        <v>161</v>
      </c>
      <c r="E71" s="46">
        <v>5</v>
      </c>
      <c r="F71" s="46">
        <v>10</v>
      </c>
      <c r="G71" s="47">
        <v>1200</v>
      </c>
    </row>
    <row r="72" spans="2:7" x14ac:dyDescent="0.25">
      <c r="B72" s="60" t="s">
        <v>92</v>
      </c>
      <c r="C72" s="10" t="s">
        <v>18</v>
      </c>
      <c r="D72" s="10" t="s">
        <v>180</v>
      </c>
      <c r="E72" s="46">
        <v>2</v>
      </c>
      <c r="F72" s="46">
        <v>2</v>
      </c>
      <c r="G72" s="47">
        <v>600</v>
      </c>
    </row>
    <row r="73" spans="2:7" x14ac:dyDescent="0.25">
      <c r="B73" s="60" t="s">
        <v>165</v>
      </c>
      <c r="C73" s="10" t="s">
        <v>18</v>
      </c>
      <c r="D73" s="10" t="s">
        <v>164</v>
      </c>
      <c r="E73" s="46">
        <v>1</v>
      </c>
      <c r="F73" s="46">
        <v>2</v>
      </c>
      <c r="G73" s="47">
        <v>1200</v>
      </c>
    </row>
    <row r="74" spans="2:7" x14ac:dyDescent="0.25">
      <c r="B74" s="60" t="s">
        <v>184</v>
      </c>
      <c r="C74" s="10" t="s">
        <v>18</v>
      </c>
      <c r="D74" s="10" t="s">
        <v>183</v>
      </c>
      <c r="E74" s="46">
        <v>1</v>
      </c>
      <c r="F74" s="46">
        <v>1</v>
      </c>
      <c r="G74" s="47">
        <v>600</v>
      </c>
    </row>
    <row r="75" spans="2:7" x14ac:dyDescent="0.25">
      <c r="B75" s="60" t="s">
        <v>95</v>
      </c>
      <c r="C75" s="10" t="s">
        <v>17</v>
      </c>
      <c r="D75" s="10" t="s">
        <v>100</v>
      </c>
      <c r="E75" s="46">
        <v>4</v>
      </c>
      <c r="F75" s="46">
        <v>18</v>
      </c>
      <c r="G75" s="47">
        <v>9600</v>
      </c>
    </row>
    <row r="76" spans="2:7" x14ac:dyDescent="0.25">
      <c r="B76" s="60" t="s">
        <v>189</v>
      </c>
      <c r="C76" s="10" t="s">
        <v>17</v>
      </c>
      <c r="D76" s="10" t="s">
        <v>117</v>
      </c>
      <c r="E76" s="46">
        <v>5</v>
      </c>
      <c r="F76" s="46">
        <v>13</v>
      </c>
      <c r="G76" s="47">
        <v>6075</v>
      </c>
    </row>
    <row r="77" spans="2:7" x14ac:dyDescent="0.25">
      <c r="B77" s="60" t="s">
        <v>189</v>
      </c>
      <c r="C77" s="10" t="s">
        <v>17</v>
      </c>
      <c r="D77" s="10" t="s">
        <v>153</v>
      </c>
      <c r="E77" s="46">
        <v>5</v>
      </c>
      <c r="F77" s="46">
        <v>10</v>
      </c>
      <c r="G77" s="47">
        <v>1800</v>
      </c>
    </row>
    <row r="78" spans="2:7" x14ac:dyDescent="0.25">
      <c r="B78" s="60" t="s">
        <v>189</v>
      </c>
      <c r="C78" s="10" t="s">
        <v>18</v>
      </c>
      <c r="D78" s="10" t="s">
        <v>157</v>
      </c>
      <c r="E78" s="46">
        <v>2</v>
      </c>
      <c r="F78" s="46">
        <v>2</v>
      </c>
      <c r="G78" s="47">
        <v>1275</v>
      </c>
    </row>
    <row r="79" spans="2:7" x14ac:dyDescent="0.25">
      <c r="B79" s="60" t="s">
        <v>247</v>
      </c>
      <c r="C79" s="10" t="s">
        <v>18</v>
      </c>
      <c r="D79" s="10" t="s">
        <v>178</v>
      </c>
      <c r="E79" s="46">
        <v>3</v>
      </c>
      <c r="F79" s="46">
        <v>4</v>
      </c>
      <c r="G79" s="47">
        <v>600</v>
      </c>
    </row>
    <row r="80" spans="2:7" x14ac:dyDescent="0.25">
      <c r="B80" s="60" t="s">
        <v>186</v>
      </c>
      <c r="C80" s="10" t="s">
        <v>18</v>
      </c>
      <c r="D80" s="10" t="s">
        <v>185</v>
      </c>
      <c r="E80" s="46">
        <v>1</v>
      </c>
      <c r="F80" s="46">
        <v>1</v>
      </c>
      <c r="G80" s="47">
        <v>600</v>
      </c>
    </row>
    <row r="81" spans="2:7" x14ac:dyDescent="0.25">
      <c r="B81" s="60" t="s">
        <v>188</v>
      </c>
      <c r="C81" s="10" t="s">
        <v>17</v>
      </c>
      <c r="D81" s="10" t="s">
        <v>187</v>
      </c>
      <c r="E81" s="46">
        <v>1</v>
      </c>
      <c r="F81" s="46">
        <v>1</v>
      </c>
      <c r="G81" s="47">
        <v>600</v>
      </c>
    </row>
    <row r="82" spans="2:7" x14ac:dyDescent="0.25">
      <c r="B82" s="60" t="s">
        <v>230</v>
      </c>
      <c r="C82" s="10" t="s">
        <v>17</v>
      </c>
      <c r="D82" s="10" t="s">
        <v>75</v>
      </c>
      <c r="E82" s="46">
        <v>9</v>
      </c>
      <c r="F82" s="46">
        <v>55</v>
      </c>
      <c r="G82" s="47">
        <v>19200</v>
      </c>
    </row>
    <row r="83" spans="2:7" x14ac:dyDescent="0.25">
      <c r="B83" s="60" t="s">
        <v>191</v>
      </c>
      <c r="C83" s="10" t="s">
        <v>18</v>
      </c>
      <c r="D83" s="10" t="s">
        <v>169</v>
      </c>
      <c r="E83" s="46">
        <v>2</v>
      </c>
      <c r="F83" s="46">
        <v>2</v>
      </c>
      <c r="G83" s="47">
        <v>600</v>
      </c>
    </row>
    <row r="84" spans="2:7" x14ac:dyDescent="0.25">
      <c r="B84" s="60" t="s">
        <v>191</v>
      </c>
      <c r="C84" s="10" t="s">
        <v>18</v>
      </c>
      <c r="D84" s="10" t="s">
        <v>200</v>
      </c>
      <c r="E84" s="46">
        <v>2</v>
      </c>
      <c r="F84" s="46">
        <v>3</v>
      </c>
      <c r="G84" s="47">
        <v>0</v>
      </c>
    </row>
    <row r="85" spans="2:7" x14ac:dyDescent="0.25">
      <c r="B85" s="60" t="s">
        <v>191</v>
      </c>
      <c r="C85" s="10" t="s">
        <v>17</v>
      </c>
      <c r="D85" s="10" t="s">
        <v>190</v>
      </c>
      <c r="E85" s="46">
        <v>1</v>
      </c>
      <c r="F85" s="46">
        <v>1</v>
      </c>
      <c r="G85" s="47">
        <v>600</v>
      </c>
    </row>
    <row r="86" spans="2:7" x14ac:dyDescent="0.25">
      <c r="B86" s="60" t="s">
        <v>299</v>
      </c>
      <c r="C86" s="10" t="s">
        <v>18</v>
      </c>
      <c r="D86" s="10" t="s">
        <v>86</v>
      </c>
      <c r="E86" s="46">
        <v>11</v>
      </c>
      <c r="F86" s="46">
        <v>25</v>
      </c>
      <c r="G86" s="47">
        <v>10800</v>
      </c>
    </row>
    <row r="87" spans="2:7" x14ac:dyDescent="0.25">
      <c r="B87" s="60" t="s">
        <v>234</v>
      </c>
      <c r="C87" s="10" t="s">
        <v>17</v>
      </c>
      <c r="D87" s="10" t="s">
        <v>88</v>
      </c>
      <c r="E87" s="46">
        <v>8</v>
      </c>
      <c r="F87" s="46">
        <v>22</v>
      </c>
      <c r="G87" s="47">
        <v>10800</v>
      </c>
    </row>
    <row r="88" spans="2:7" x14ac:dyDescent="0.25">
      <c r="B88" s="60" t="s">
        <v>297</v>
      </c>
      <c r="C88" s="10" t="s">
        <v>18</v>
      </c>
      <c r="D88" s="10" t="s">
        <v>81</v>
      </c>
      <c r="E88" s="46">
        <v>4</v>
      </c>
      <c r="F88" s="46">
        <v>23</v>
      </c>
      <c r="G88" s="47">
        <v>12600</v>
      </c>
    </row>
    <row r="89" spans="2:7" x14ac:dyDescent="0.25">
      <c r="B89" s="60" t="s">
        <v>127</v>
      </c>
      <c r="C89" s="10" t="s">
        <v>17</v>
      </c>
      <c r="D89" s="10" t="s">
        <v>193</v>
      </c>
      <c r="E89" s="46">
        <v>1</v>
      </c>
      <c r="F89" s="46">
        <v>1</v>
      </c>
      <c r="G89" s="47">
        <v>600</v>
      </c>
    </row>
    <row r="90" spans="2:7" x14ac:dyDescent="0.25">
      <c r="B90" s="60" t="s">
        <v>125</v>
      </c>
      <c r="C90" s="10" t="s">
        <v>17</v>
      </c>
      <c r="D90" s="10" t="s">
        <v>143</v>
      </c>
      <c r="E90" s="46">
        <v>4</v>
      </c>
      <c r="F90" s="46">
        <v>5</v>
      </c>
      <c r="G90" s="47">
        <v>2500</v>
      </c>
    </row>
    <row r="91" spans="2:7" x14ac:dyDescent="0.25">
      <c r="B91" s="60" t="s">
        <v>125</v>
      </c>
      <c r="C91" s="10" t="s">
        <v>17</v>
      </c>
      <c r="D91" s="10" t="s">
        <v>105</v>
      </c>
      <c r="E91" s="46">
        <v>6</v>
      </c>
      <c r="F91" s="46">
        <v>12</v>
      </c>
      <c r="G91" s="47">
        <v>7350</v>
      </c>
    </row>
    <row r="92" spans="2:7" x14ac:dyDescent="0.25">
      <c r="B92" s="60" t="s">
        <v>148</v>
      </c>
      <c r="C92" s="10" t="s">
        <v>18</v>
      </c>
      <c r="D92" s="10" t="s">
        <v>147</v>
      </c>
      <c r="E92" s="46">
        <v>2</v>
      </c>
      <c r="F92" s="46">
        <v>5</v>
      </c>
      <c r="G92" s="47">
        <v>2400</v>
      </c>
    </row>
    <row r="93" spans="2:7" x14ac:dyDescent="0.25">
      <c r="B93" s="60" t="s">
        <v>148</v>
      </c>
      <c r="C93" s="10" t="s">
        <v>18</v>
      </c>
      <c r="D93" s="10" t="s">
        <v>149</v>
      </c>
      <c r="E93" s="46">
        <v>1</v>
      </c>
      <c r="F93" s="46">
        <v>4</v>
      </c>
      <c r="G93" s="47">
        <v>2400</v>
      </c>
    </row>
    <row r="94" spans="2:7" x14ac:dyDescent="0.25">
      <c r="B94" s="60" t="s">
        <v>291</v>
      </c>
      <c r="C94" s="10" t="s">
        <v>18</v>
      </c>
      <c r="D94" s="10" t="s">
        <v>111</v>
      </c>
      <c r="E94" s="46">
        <v>7</v>
      </c>
      <c r="F94" s="46">
        <v>20</v>
      </c>
      <c r="G94" s="47">
        <v>6600</v>
      </c>
    </row>
    <row r="95" spans="2:7" x14ac:dyDescent="0.25">
      <c r="B95" s="60" t="s">
        <v>141</v>
      </c>
      <c r="C95" s="10" t="s">
        <v>17</v>
      </c>
      <c r="D95" s="10" t="s">
        <v>144</v>
      </c>
      <c r="E95" s="46">
        <v>2</v>
      </c>
      <c r="F95" s="46">
        <v>4</v>
      </c>
      <c r="G95" s="47">
        <v>2400</v>
      </c>
    </row>
    <row r="96" spans="2:7" x14ac:dyDescent="0.25">
      <c r="B96" s="60" t="s">
        <v>277</v>
      </c>
      <c r="C96" s="10" t="s">
        <v>17</v>
      </c>
      <c r="D96" s="10" t="s">
        <v>167</v>
      </c>
      <c r="E96" s="46">
        <v>2</v>
      </c>
      <c r="F96" s="46">
        <v>2</v>
      </c>
      <c r="G96" s="47">
        <v>700</v>
      </c>
    </row>
    <row r="97" spans="2:7" x14ac:dyDescent="0.25">
      <c r="B97" s="60" t="s">
        <v>199</v>
      </c>
      <c r="C97" s="10" t="s">
        <v>18</v>
      </c>
      <c r="D97" s="10" t="s">
        <v>139</v>
      </c>
      <c r="E97" s="46">
        <v>2</v>
      </c>
      <c r="F97" s="46">
        <v>10</v>
      </c>
      <c r="G97" s="47">
        <v>4800</v>
      </c>
    </row>
    <row r="98" spans="2:7" x14ac:dyDescent="0.25">
      <c r="B98" s="60" t="s">
        <v>236</v>
      </c>
      <c r="C98" s="10" t="s">
        <v>17</v>
      </c>
      <c r="D98" s="10" t="s">
        <v>94</v>
      </c>
      <c r="E98" s="46">
        <v>3</v>
      </c>
      <c r="F98" s="46">
        <v>18</v>
      </c>
      <c r="G98" s="47">
        <v>9800</v>
      </c>
    </row>
    <row r="99" spans="2:7" x14ac:dyDescent="0.25">
      <c r="B99" s="60" t="s">
        <v>235</v>
      </c>
      <c r="C99" s="10" t="s">
        <v>18</v>
      </c>
      <c r="D99" s="10" t="s">
        <v>156</v>
      </c>
      <c r="E99" s="46">
        <v>2</v>
      </c>
      <c r="F99" s="46">
        <v>6</v>
      </c>
      <c r="G99" s="47">
        <v>1800</v>
      </c>
    </row>
    <row r="100" spans="2:7" x14ac:dyDescent="0.25">
      <c r="B100" s="60" t="s">
        <v>235</v>
      </c>
      <c r="C100" s="10" t="s">
        <v>18</v>
      </c>
      <c r="D100" s="10" t="s">
        <v>91</v>
      </c>
      <c r="E100" s="46">
        <v>4</v>
      </c>
      <c r="F100" s="46">
        <v>17</v>
      </c>
      <c r="G100" s="47">
        <v>10200</v>
      </c>
    </row>
    <row r="101" spans="2:7" x14ac:dyDescent="0.25">
      <c r="B101" s="60" t="s">
        <v>124</v>
      </c>
      <c r="C101" s="10" t="s">
        <v>17</v>
      </c>
      <c r="D101" s="10" t="s">
        <v>123</v>
      </c>
      <c r="E101" s="46">
        <v>2</v>
      </c>
      <c r="F101" s="46">
        <v>10</v>
      </c>
      <c r="G101" s="47">
        <v>5500</v>
      </c>
    </row>
    <row r="102" spans="2:7" x14ac:dyDescent="0.25">
      <c r="B102" s="60" t="s">
        <v>195</v>
      </c>
      <c r="C102" s="10" t="s">
        <v>17</v>
      </c>
      <c r="D102" s="10" t="s">
        <v>63</v>
      </c>
      <c r="E102" s="46">
        <v>7</v>
      </c>
      <c r="F102" s="46">
        <v>63</v>
      </c>
      <c r="G102" s="47">
        <v>31500</v>
      </c>
    </row>
    <row r="103" spans="2:7" x14ac:dyDescent="0.25">
      <c r="B103" s="60" t="s">
        <v>195</v>
      </c>
      <c r="C103" s="10" t="s">
        <v>17</v>
      </c>
      <c r="D103" s="10" t="s">
        <v>194</v>
      </c>
      <c r="E103" s="46">
        <v>1</v>
      </c>
      <c r="F103" s="46">
        <v>1</v>
      </c>
      <c r="G103" s="47">
        <v>350</v>
      </c>
    </row>
    <row r="104" spans="2:7" x14ac:dyDescent="0.25">
      <c r="B104" s="60" t="s">
        <v>243</v>
      </c>
      <c r="C104" s="10" t="s">
        <v>17</v>
      </c>
      <c r="D104" s="10" t="s">
        <v>126</v>
      </c>
      <c r="E104" s="46">
        <v>3</v>
      </c>
      <c r="F104" s="46">
        <v>15</v>
      </c>
      <c r="G104" s="47">
        <v>5400</v>
      </c>
    </row>
    <row r="105" spans="2:7" x14ac:dyDescent="0.25">
      <c r="B105" s="60" t="s">
        <v>273</v>
      </c>
      <c r="C105" s="10" t="s">
        <v>17</v>
      </c>
      <c r="D105" s="10" t="s">
        <v>122</v>
      </c>
      <c r="E105" s="46">
        <v>3</v>
      </c>
      <c r="F105" s="46">
        <v>12</v>
      </c>
      <c r="G105" s="47">
        <v>5500</v>
      </c>
    </row>
    <row r="106" spans="2:7" x14ac:dyDescent="0.25">
      <c r="B106" s="60" t="s">
        <v>269</v>
      </c>
      <c r="C106" s="10" t="s">
        <v>17</v>
      </c>
      <c r="D106" s="10" t="s">
        <v>102</v>
      </c>
      <c r="E106" s="46">
        <v>7</v>
      </c>
      <c r="F106" s="46">
        <v>15</v>
      </c>
      <c r="G106" s="47">
        <v>7800</v>
      </c>
    </row>
    <row r="107" spans="2:7" x14ac:dyDescent="0.25">
      <c r="B107" s="60" t="s">
        <v>198</v>
      </c>
      <c r="C107" s="10" t="s">
        <v>17</v>
      </c>
      <c r="D107" s="10" t="s">
        <v>197</v>
      </c>
      <c r="E107" s="46">
        <v>1</v>
      </c>
      <c r="F107" s="46">
        <v>1</v>
      </c>
      <c r="G107" s="47">
        <v>350</v>
      </c>
    </row>
    <row r="108" spans="2:7" x14ac:dyDescent="0.25">
      <c r="B108" s="60" t="s">
        <v>151</v>
      </c>
      <c r="C108" s="10" t="s">
        <v>18</v>
      </c>
      <c r="D108" s="10" t="s">
        <v>83</v>
      </c>
      <c r="E108" s="46">
        <v>10</v>
      </c>
      <c r="F108" s="46">
        <v>30</v>
      </c>
      <c r="G108" s="47">
        <v>11100</v>
      </c>
    </row>
    <row r="109" spans="2:7" x14ac:dyDescent="0.25">
      <c r="B109" s="60" t="s">
        <v>151</v>
      </c>
      <c r="C109" s="10" t="s">
        <v>17</v>
      </c>
      <c r="D109" s="10" t="s">
        <v>60</v>
      </c>
      <c r="E109" s="46">
        <v>8</v>
      </c>
      <c r="F109" s="46">
        <v>64</v>
      </c>
      <c r="G109" s="47">
        <v>37200</v>
      </c>
    </row>
    <row r="110" spans="2:7" x14ac:dyDescent="0.25">
      <c r="B110" s="60" t="s">
        <v>151</v>
      </c>
      <c r="C110" s="10" t="s">
        <v>18</v>
      </c>
      <c r="D110" s="10" t="s">
        <v>150</v>
      </c>
      <c r="E110" s="46">
        <v>1</v>
      </c>
      <c r="F110" s="46">
        <v>4</v>
      </c>
      <c r="G110" s="47">
        <v>2400</v>
      </c>
    </row>
    <row r="111" spans="2:7" x14ac:dyDescent="0.25">
      <c r="B111" s="60" t="s">
        <v>151</v>
      </c>
      <c r="C111" s="10" t="s">
        <v>17</v>
      </c>
      <c r="D111" s="10" t="s">
        <v>66</v>
      </c>
      <c r="E111" s="46">
        <v>8</v>
      </c>
      <c r="F111" s="46">
        <v>59</v>
      </c>
      <c r="G111" s="47">
        <v>31050</v>
      </c>
    </row>
    <row r="112" spans="2:7" x14ac:dyDescent="0.25">
      <c r="B112" s="60" t="s">
        <v>151</v>
      </c>
      <c r="C112" s="10" t="s">
        <v>17</v>
      </c>
      <c r="D112" s="10" t="s">
        <v>78</v>
      </c>
      <c r="E112" s="46">
        <v>6</v>
      </c>
      <c r="F112" s="46">
        <v>24</v>
      </c>
      <c r="G112" s="47">
        <v>12700</v>
      </c>
    </row>
    <row r="113" spans="2:7" x14ac:dyDescent="0.25">
      <c r="B113" s="60" t="s">
        <v>298</v>
      </c>
      <c r="C113" s="10" t="s">
        <v>18</v>
      </c>
      <c r="D113" s="10" t="s">
        <v>118</v>
      </c>
      <c r="E113" s="46">
        <v>4</v>
      </c>
      <c r="F113" s="46">
        <v>17</v>
      </c>
      <c r="G113" s="47">
        <v>6000</v>
      </c>
    </row>
    <row r="114" spans="2:7" x14ac:dyDescent="0.25">
      <c r="B114" s="60" t="s">
        <v>272</v>
      </c>
      <c r="C114" s="10" t="s">
        <v>17</v>
      </c>
      <c r="D114" s="10" t="s">
        <v>108</v>
      </c>
      <c r="E114" s="46">
        <v>4</v>
      </c>
      <c r="F114" s="46">
        <v>12</v>
      </c>
      <c r="G114" s="47">
        <v>6655</v>
      </c>
    </row>
    <row r="115" spans="2:7" x14ac:dyDescent="0.25">
      <c r="B115" s="60" t="s">
        <v>267</v>
      </c>
      <c r="C115" s="10" t="s">
        <v>17</v>
      </c>
      <c r="D115" s="10" t="s">
        <v>120</v>
      </c>
      <c r="E115" s="46">
        <v>4</v>
      </c>
      <c r="F115" s="46">
        <v>7</v>
      </c>
      <c r="G115" s="47">
        <v>5680</v>
      </c>
    </row>
    <row r="116" spans="2:7" x14ac:dyDescent="0.25">
      <c r="B116" s="60" t="s">
        <v>267</v>
      </c>
      <c r="C116" s="10" t="s">
        <v>17</v>
      </c>
      <c r="D116" s="10" t="s">
        <v>69</v>
      </c>
      <c r="E116" s="46">
        <v>18</v>
      </c>
      <c r="F116" s="46">
        <v>57</v>
      </c>
      <c r="G116" s="47">
        <v>25900</v>
      </c>
    </row>
    <row r="117" spans="2:7" x14ac:dyDescent="0.25">
      <c r="B117" s="60" t="s">
        <v>231</v>
      </c>
      <c r="C117" s="10" t="s">
        <v>17</v>
      </c>
      <c r="D117" s="10" t="s">
        <v>72</v>
      </c>
      <c r="E117" s="46">
        <v>16</v>
      </c>
      <c r="F117" s="46">
        <v>37</v>
      </c>
      <c r="G117" s="47">
        <v>21000</v>
      </c>
    </row>
  </sheetData>
  <mergeCells count="13">
    <mergeCell ref="B2:I2"/>
    <mergeCell ref="B3:I3"/>
    <mergeCell ref="B5:C5"/>
    <mergeCell ref="D5:E5"/>
    <mergeCell ref="F5:G5"/>
    <mergeCell ref="H5:I5"/>
    <mergeCell ref="B6:C7"/>
    <mergeCell ref="D6:E7"/>
    <mergeCell ref="F6:G7"/>
    <mergeCell ref="H6:I7"/>
    <mergeCell ref="B10:I10"/>
    <mergeCell ref="B25:I25"/>
    <mergeCell ref="B36:I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"/>
  <sheetFormatPr defaultRowHeight="15" outlineLevelRow="0" outlineLevelCol="0" x14ac:dyDescent="55"/>
  <cols>
    <col min="1" max="1" width="3" customWidth="1"/>
    <col min="2" max="2" width="18" customWidth="1"/>
    <col min="3" max="3" width="10" customWidth="1"/>
    <col min="4" max="6" width="8" customWidth="1"/>
    <col min="7" max="11" width="12" customWidth="1"/>
  </cols>
  <sheetData>
    <row r="2" spans="2:11" x14ac:dyDescent="0.25">
      <c r="B2" s="29" t="s">
        <v>366</v>
      </c>
      <c r="C2" s="29"/>
      <c r="D2" s="29"/>
      <c r="E2" s="29"/>
      <c r="F2" s="29"/>
      <c r="G2" s="29"/>
      <c r="H2" s="29"/>
      <c r="I2" s="29"/>
      <c r="J2" s="29"/>
      <c r="K2" s="29"/>
    </row>
    <row r="3" spans="2:11" x14ac:dyDescent="0.25">
      <c r="B3" s="50" t="s">
        <v>367</v>
      </c>
      <c r="C3" s="50"/>
      <c r="D3" s="50"/>
      <c r="E3" s="50"/>
      <c r="F3" s="50"/>
      <c r="G3" s="50"/>
      <c r="H3" s="50"/>
      <c r="I3" s="50"/>
      <c r="J3" s="50"/>
      <c r="K3" s="50"/>
    </row>
    <row r="5" spans="2:9" x14ac:dyDescent="0.25">
      <c r="B5" s="3" t="s">
        <v>368</v>
      </c>
      <c r="C5" s="3"/>
      <c r="D5" s="3" t="s">
        <v>369</v>
      </c>
      <c r="E5" s="3"/>
      <c r="F5" s="3" t="s">
        <v>370</v>
      </c>
      <c r="G5" s="3"/>
      <c r="H5" s="3" t="s">
        <v>371</v>
      </c>
      <c r="I5" s="3"/>
    </row>
    <row r="6" spans="2:9" x14ac:dyDescent="0.25">
      <c r="B6" s="4">
        <v>445985</v>
      </c>
      <c r="C6" s="4"/>
      <c r="D6" s="4">
        <v>361810</v>
      </c>
      <c r="E6" s="4"/>
      <c r="F6" s="4">
        <v>109650</v>
      </c>
      <c r="G6" s="4"/>
      <c r="H6" s="5">
        <v>0.45612580257678215</v>
      </c>
      <c r="I6" s="5"/>
    </row>
    <row r="7" spans="2:9" x14ac:dyDescent="0.25">
      <c r="B7" s="4"/>
      <c r="C7" s="4"/>
      <c r="D7" s="4"/>
      <c r="E7" s="4"/>
      <c r="F7" s="4"/>
      <c r="G7" s="4"/>
      <c r="H7" s="5"/>
      <c r="I7" s="5"/>
    </row>
    <row r="10" spans="2:11" x14ac:dyDescent="0.25">
      <c r="B10" s="9" t="s">
        <v>341</v>
      </c>
      <c r="C10" s="9" t="s">
        <v>47</v>
      </c>
      <c r="D10" s="9" t="s">
        <v>261</v>
      </c>
      <c r="E10" s="9" t="s">
        <v>51</v>
      </c>
      <c r="F10" s="9" t="s">
        <v>372</v>
      </c>
      <c r="G10" s="9" t="s">
        <v>373</v>
      </c>
      <c r="H10" s="9" t="s">
        <v>374</v>
      </c>
      <c r="I10" s="9" t="s">
        <v>375</v>
      </c>
      <c r="J10" s="9" t="s">
        <v>376</v>
      </c>
      <c r="K10" s="9" t="s">
        <v>377</v>
      </c>
    </row>
    <row r="11" spans="2:11" x14ac:dyDescent="0.25">
      <c r="B11" s="10" t="s">
        <v>346</v>
      </c>
      <c r="C11" s="46">
        <v>4</v>
      </c>
      <c r="D11" s="46">
        <v>8</v>
      </c>
      <c r="E11" s="46">
        <v>8</v>
      </c>
      <c r="F11" s="46">
        <v>0</v>
      </c>
      <c r="G11" s="47">
        <v>10540</v>
      </c>
      <c r="H11" s="47">
        <v>680</v>
      </c>
      <c r="I11" s="61">
        <v>0.06451612903225806</v>
      </c>
      <c r="J11" s="62">
        <v>9860</v>
      </c>
      <c r="K11" s="47">
        <v>7330</v>
      </c>
    </row>
    <row r="12" spans="2:11" x14ac:dyDescent="0.25">
      <c r="B12" s="10" t="s">
        <v>347</v>
      </c>
      <c r="C12" s="46">
        <v>10</v>
      </c>
      <c r="D12" s="46">
        <v>19</v>
      </c>
      <c r="E12" s="46">
        <v>19</v>
      </c>
      <c r="F12" s="46">
        <v>0</v>
      </c>
      <c r="G12" s="47">
        <v>21425</v>
      </c>
      <c r="H12" s="47">
        <v>9725</v>
      </c>
      <c r="I12" s="61">
        <v>0.4539089848308051</v>
      </c>
      <c r="J12" s="62">
        <v>11700</v>
      </c>
      <c r="K12" s="47">
        <v>7530</v>
      </c>
    </row>
    <row r="13" spans="2:11" x14ac:dyDescent="0.25">
      <c r="B13" s="10" t="s">
        <v>349</v>
      </c>
      <c r="C13" s="46">
        <v>22</v>
      </c>
      <c r="D13" s="46">
        <v>78</v>
      </c>
      <c r="E13" s="46">
        <v>75</v>
      </c>
      <c r="F13" s="46">
        <v>3</v>
      </c>
      <c r="G13" s="47">
        <v>112125</v>
      </c>
      <c r="H13" s="47">
        <v>70125</v>
      </c>
      <c r="I13" s="61">
        <v>0.6254180602006689</v>
      </c>
      <c r="J13" s="62">
        <v>42000</v>
      </c>
      <c r="K13" s="47">
        <v>19150</v>
      </c>
    </row>
    <row r="14" spans="2:11" x14ac:dyDescent="0.25">
      <c r="B14" s="10" t="s">
        <v>351</v>
      </c>
      <c r="C14" s="46">
        <v>35</v>
      </c>
      <c r="D14" s="46">
        <v>112</v>
      </c>
      <c r="E14" s="46">
        <v>103</v>
      </c>
      <c r="F14" s="46">
        <v>9</v>
      </c>
      <c r="G14" s="47">
        <v>90350</v>
      </c>
      <c r="H14" s="47">
        <v>29050</v>
      </c>
      <c r="I14" s="61">
        <v>0.3215273934698395</v>
      </c>
      <c r="J14" s="62">
        <v>61300</v>
      </c>
      <c r="K14" s="47">
        <v>40200</v>
      </c>
    </row>
    <row r="15" spans="2:11" x14ac:dyDescent="0.25">
      <c r="B15" s="10" t="s">
        <v>353</v>
      </c>
      <c r="C15" s="46">
        <v>32</v>
      </c>
      <c r="D15" s="46">
        <v>98</v>
      </c>
      <c r="E15" s="46">
        <v>90</v>
      </c>
      <c r="F15" s="46">
        <v>8</v>
      </c>
      <c r="G15" s="47">
        <v>78375</v>
      </c>
      <c r="H15" s="47">
        <v>24625</v>
      </c>
      <c r="I15" s="61">
        <v>0.3141945773524721</v>
      </c>
      <c r="J15" s="62">
        <v>53750</v>
      </c>
      <c r="K15" s="47">
        <v>50750</v>
      </c>
    </row>
    <row r="16" spans="2:11" x14ac:dyDescent="0.25">
      <c r="B16" s="10" t="s">
        <v>355</v>
      </c>
      <c r="C16" s="46">
        <v>25</v>
      </c>
      <c r="D16" s="46">
        <v>58</v>
      </c>
      <c r="E16" s="46">
        <v>47</v>
      </c>
      <c r="F16" s="46">
        <v>11</v>
      </c>
      <c r="G16" s="47">
        <v>46950</v>
      </c>
      <c r="H16" s="47">
        <v>17700</v>
      </c>
      <c r="I16" s="61">
        <v>0.3769968051118211</v>
      </c>
      <c r="J16" s="62">
        <v>29250</v>
      </c>
      <c r="K16" s="47">
        <v>54400</v>
      </c>
    </row>
    <row r="17" spans="2:11" x14ac:dyDescent="0.25">
      <c r="B17" s="10" t="s">
        <v>357</v>
      </c>
      <c r="C17" s="46">
        <v>29</v>
      </c>
      <c r="D17" s="46">
        <v>82</v>
      </c>
      <c r="E17" s="46">
        <v>59</v>
      </c>
      <c r="F17" s="63">
        <v>23</v>
      </c>
      <c r="G17" s="47">
        <v>64400</v>
      </c>
      <c r="H17" s="47">
        <v>28925</v>
      </c>
      <c r="I17" s="61">
        <v>0.44914596273291924</v>
      </c>
      <c r="J17" s="62">
        <v>35475</v>
      </c>
      <c r="K17" s="47">
        <v>35400</v>
      </c>
    </row>
    <row r="18" spans="2:11" x14ac:dyDescent="0.25">
      <c r="B18" s="10" t="s">
        <v>359</v>
      </c>
      <c r="C18" s="46">
        <v>65</v>
      </c>
      <c r="D18" s="46">
        <v>246</v>
      </c>
      <c r="E18" s="46">
        <v>181</v>
      </c>
      <c r="F18" s="63">
        <v>65</v>
      </c>
      <c r="G18" s="47">
        <v>201825</v>
      </c>
      <c r="H18" s="47">
        <v>92175</v>
      </c>
      <c r="I18" s="61">
        <v>0.4567075436640654</v>
      </c>
      <c r="J18" s="62">
        <v>109650</v>
      </c>
      <c r="K18" s="47">
        <v>75300</v>
      </c>
    </row>
    <row r="19" spans="2:11" x14ac:dyDescent="0.25">
      <c r="B19" s="56" t="s">
        <v>361</v>
      </c>
      <c r="C19" s="46">
        <v>46</v>
      </c>
      <c r="D19" s="46">
        <v>244</v>
      </c>
      <c r="E19" s="46">
        <v>155</v>
      </c>
      <c r="F19" s="63">
        <v>89</v>
      </c>
      <c r="G19" s="47">
        <v>194025</v>
      </c>
      <c r="H19" s="47">
        <v>101025</v>
      </c>
      <c r="I19" s="61">
        <v>0.5206803247004252</v>
      </c>
      <c r="J19" s="62">
        <v>93000</v>
      </c>
      <c r="K19" s="47">
        <v>71750</v>
      </c>
    </row>
    <row r="20" spans="2:11" x14ac:dyDescent="0.25">
      <c r="B20" s="56" t="s">
        <v>378</v>
      </c>
      <c r="C20" s="57">
        <v>268</v>
      </c>
      <c r="D20" s="57">
        <v>945</v>
      </c>
      <c r="E20" s="57">
        <v>737</v>
      </c>
      <c r="F20" s="57">
        <v>208</v>
      </c>
      <c r="G20" s="64">
        <v>820015</v>
      </c>
      <c r="H20" s="64">
        <v>374030</v>
      </c>
      <c r="I20" s="65">
        <v>0.45612580257678215</v>
      </c>
      <c r="J20" s="64">
        <v>445985</v>
      </c>
      <c r="K20" s="64">
        <v>361810</v>
      </c>
    </row>
    <row r="22" ht="28" customHeight="1" spans="2:11" x14ac:dyDescent="0.25">
      <c r="B22" s="66" t="s">
        <v>379</v>
      </c>
      <c r="C22" s="66"/>
      <c r="D22" s="66"/>
      <c r="E22" s="66"/>
      <c r="F22" s="66"/>
      <c r="G22" s="66"/>
      <c r="H22" s="66"/>
      <c r="I22" s="66"/>
      <c r="J22" s="66"/>
      <c r="K22" s="66"/>
    </row>
  </sheetData>
  <mergeCells count="11">
    <mergeCell ref="B2:K2"/>
    <mergeCell ref="B3:K3"/>
    <mergeCell ref="B5:C5"/>
    <mergeCell ref="D5:E5"/>
    <mergeCell ref="F5:G5"/>
    <mergeCell ref="H5:I5"/>
    <mergeCell ref="B6:C7"/>
    <mergeCell ref="D6:E7"/>
    <mergeCell ref="F6:G7"/>
    <mergeCell ref="H6:I7"/>
    <mergeCell ref="B22:K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41"/>
  <sheetViews>
    <sheetView workbookViewId="0" showGridLines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8" customWidth="1"/>
    <col min="3" max="3" width="22" customWidth="1"/>
    <col min="4" max="4" width="20" customWidth="1"/>
    <col min="5" max="5" width="14" customWidth="1"/>
    <col min="6" max="6" width="10" customWidth="1"/>
    <col min="7" max="7" width="24" customWidth="1"/>
    <col min="8" max="11" width="20" customWidth="1"/>
  </cols>
  <sheetData>
    <row r="2" spans="2:11" x14ac:dyDescent="0.25">
      <c r="B2" s="29" t="s">
        <v>380</v>
      </c>
      <c r="C2" s="29"/>
      <c r="D2" s="29"/>
      <c r="E2" s="29"/>
      <c r="F2" s="29"/>
      <c r="G2" s="29"/>
      <c r="H2" s="29"/>
      <c r="I2" s="29"/>
      <c r="J2" s="29"/>
      <c r="K2" s="29"/>
    </row>
    <row r="3" ht="42" customHeight="1" spans="2:11" x14ac:dyDescent="0.25">
      <c r="B3" s="66" t="s">
        <v>381</v>
      </c>
      <c r="C3" s="66"/>
      <c r="D3" s="66"/>
      <c r="E3" s="66"/>
      <c r="F3" s="66"/>
      <c r="G3" s="66"/>
      <c r="H3" s="66"/>
      <c r="I3" s="66"/>
      <c r="J3" s="66"/>
      <c r="K3" s="66"/>
    </row>
    <row r="6" spans="2:9" x14ac:dyDescent="0.25">
      <c r="B6" s="3" t="s">
        <v>382</v>
      </c>
      <c r="C6" s="3"/>
      <c r="D6" s="3" t="s">
        <v>383</v>
      </c>
      <c r="E6" s="3"/>
      <c r="F6" s="3" t="s">
        <v>384</v>
      </c>
      <c r="G6" s="3"/>
      <c r="H6" s="3" t="s">
        <v>385</v>
      </c>
      <c r="I6" s="3"/>
    </row>
    <row r="7" spans="2:9" x14ac:dyDescent="0.25">
      <c r="B7" s="6">
        <v>48</v>
      </c>
      <c r="C7" s="6"/>
      <c r="D7" s="6">
        <v>131</v>
      </c>
      <c r="E7" s="6"/>
      <c r="F7" s="6">
        <v>8</v>
      </c>
      <c r="G7" s="6"/>
      <c r="H7" s="5">
        <v>0.16666666666666666</v>
      </c>
      <c r="I7" s="5"/>
    </row>
    <row r="8" spans="2:9" x14ac:dyDescent="0.25">
      <c r="B8" s="6"/>
      <c r="C8" s="6"/>
      <c r="D8" s="6"/>
      <c r="E8" s="6"/>
      <c r="F8" s="6"/>
      <c r="G8" s="6"/>
      <c r="H8" s="5"/>
      <c r="I8" s="5"/>
    </row>
    <row r="10" spans="2:7" x14ac:dyDescent="0.25">
      <c r="B10" s="3" t="s">
        <v>386</v>
      </c>
      <c r="C10" s="3"/>
      <c r="D10" s="3" t="s">
        <v>387</v>
      </c>
      <c r="E10" s="3"/>
      <c r="F10" s="3" t="s">
        <v>388</v>
      </c>
      <c r="G10" s="3"/>
    </row>
    <row r="11" spans="2:7" x14ac:dyDescent="0.25">
      <c r="B11" s="4">
        <v>105600</v>
      </c>
      <c r="C11" s="4"/>
      <c r="D11" s="4">
        <v>25275</v>
      </c>
      <c r="E11" s="4"/>
      <c r="F11" s="67">
        <v>3047.919999999999</v>
      </c>
      <c r="G11" s="67"/>
    </row>
    <row r="12" spans="2:7" x14ac:dyDescent="0.25">
      <c r="B12" s="4"/>
      <c r="C12" s="4"/>
      <c r="D12" s="4"/>
      <c r="E12" s="4"/>
      <c r="F12" s="67"/>
      <c r="G12" s="67"/>
    </row>
    <row r="15" spans="2:11" x14ac:dyDescent="0.25">
      <c r="B15" s="9" t="s">
        <v>219</v>
      </c>
      <c r="C15" s="9" t="s">
        <v>46</v>
      </c>
      <c r="D15" s="9" t="s">
        <v>389</v>
      </c>
      <c r="E15" s="9" t="s">
        <v>263</v>
      </c>
      <c r="F15" s="9" t="s">
        <v>261</v>
      </c>
      <c r="G15" s="9" t="s">
        <v>390</v>
      </c>
      <c r="H15" s="9" t="s">
        <v>391</v>
      </c>
      <c r="I15" s="9" t="s">
        <v>392</v>
      </c>
      <c r="J15" s="9" t="s">
        <v>393</v>
      </c>
      <c r="K15" s="9" t="s">
        <v>264</v>
      </c>
    </row>
    <row r="16" spans="2:11" x14ac:dyDescent="0.25">
      <c r="B16" s="10" t="s">
        <v>75</v>
      </c>
      <c r="C16" s="10" t="s">
        <v>17</v>
      </c>
      <c r="D16" s="60" t="s">
        <v>67</v>
      </c>
      <c r="E16" s="46">
        <v>0</v>
      </c>
      <c r="F16" s="46">
        <v>10</v>
      </c>
      <c r="G16" s="68" t="s">
        <v>394</v>
      </c>
      <c r="H16" s="47">
        <v>8250</v>
      </c>
      <c r="I16" s="69">
        <v>84.86</v>
      </c>
      <c r="J16" s="47">
        <v>0</v>
      </c>
      <c r="K16" s="70" t="s">
        <v>395</v>
      </c>
    </row>
    <row r="17" spans="2:11" x14ac:dyDescent="0.25">
      <c r="B17" s="10" t="s">
        <v>200</v>
      </c>
      <c r="C17" s="10" t="s">
        <v>18</v>
      </c>
      <c r="D17" s="60" t="s">
        <v>67</v>
      </c>
      <c r="E17" s="46">
        <v>0</v>
      </c>
      <c r="F17" s="46">
        <v>3</v>
      </c>
      <c r="G17" s="68" t="s">
        <v>396</v>
      </c>
      <c r="H17" s="47">
        <v>2475</v>
      </c>
      <c r="I17" s="69">
        <v>79.54</v>
      </c>
      <c r="J17" s="47">
        <v>0</v>
      </c>
      <c r="K17" s="70" t="s">
        <v>395</v>
      </c>
    </row>
    <row r="18" spans="2:11" x14ac:dyDescent="0.25">
      <c r="B18" s="10" t="s">
        <v>130</v>
      </c>
      <c r="C18" s="10" t="s">
        <v>18</v>
      </c>
      <c r="D18" s="60" t="s">
        <v>67</v>
      </c>
      <c r="E18" s="46">
        <v>0</v>
      </c>
      <c r="F18" s="46">
        <v>3</v>
      </c>
      <c r="G18" s="68" t="s">
        <v>394</v>
      </c>
      <c r="H18" s="47">
        <v>2475</v>
      </c>
      <c r="I18" s="69">
        <v>15.649999999999999</v>
      </c>
      <c r="J18" s="47">
        <v>0</v>
      </c>
      <c r="K18" s="70" t="s">
        <v>395</v>
      </c>
    </row>
    <row r="19" spans="2:11" x14ac:dyDescent="0.25">
      <c r="B19" s="10" t="s">
        <v>63</v>
      </c>
      <c r="C19" s="10" t="s">
        <v>17</v>
      </c>
      <c r="D19" s="60" t="s">
        <v>64</v>
      </c>
      <c r="E19" s="46">
        <v>1</v>
      </c>
      <c r="F19" s="46">
        <v>12</v>
      </c>
      <c r="G19" s="68" t="s">
        <v>396</v>
      </c>
      <c r="H19" s="47">
        <v>9900</v>
      </c>
      <c r="I19" s="69">
        <v>46.98</v>
      </c>
      <c r="J19" s="47">
        <v>0</v>
      </c>
      <c r="K19" s="70" t="s">
        <v>395</v>
      </c>
    </row>
    <row r="20" spans="2:11" x14ac:dyDescent="0.25">
      <c r="B20" s="10" t="s">
        <v>132</v>
      </c>
      <c r="C20" s="10" t="s">
        <v>17</v>
      </c>
      <c r="D20" s="60" t="s">
        <v>133</v>
      </c>
      <c r="E20" s="46">
        <v>5</v>
      </c>
      <c r="F20" s="46">
        <v>3</v>
      </c>
      <c r="G20" s="68" t="s">
        <v>396</v>
      </c>
      <c r="H20" s="47">
        <v>2475</v>
      </c>
      <c r="I20" s="69">
        <v>9.69</v>
      </c>
      <c r="J20" s="47">
        <v>0</v>
      </c>
      <c r="K20" s="70" t="s">
        <v>395</v>
      </c>
    </row>
    <row r="21" spans="2:11" x14ac:dyDescent="0.25">
      <c r="B21" s="10" t="s">
        <v>160</v>
      </c>
      <c r="C21" s="10" t="s">
        <v>18</v>
      </c>
      <c r="D21" s="60" t="s">
        <v>73</v>
      </c>
      <c r="E21" s="46">
        <v>9</v>
      </c>
      <c r="F21" s="46">
        <v>2</v>
      </c>
      <c r="G21" s="68" t="s">
        <v>394</v>
      </c>
      <c r="H21" s="47">
        <v>1650</v>
      </c>
      <c r="I21" s="69">
        <v>142.1</v>
      </c>
      <c r="J21" s="47">
        <v>0</v>
      </c>
      <c r="K21" s="70" t="s">
        <v>395</v>
      </c>
    </row>
    <row r="22" spans="2:11" x14ac:dyDescent="0.25">
      <c r="B22" s="10" t="s">
        <v>202</v>
      </c>
      <c r="C22" s="10" t="s">
        <v>18</v>
      </c>
      <c r="D22" s="60" t="s">
        <v>73</v>
      </c>
      <c r="E22" s="46">
        <v>9</v>
      </c>
      <c r="F22" s="46">
        <v>1</v>
      </c>
      <c r="G22" s="68" t="s">
        <v>396</v>
      </c>
      <c r="H22" s="47">
        <v>825</v>
      </c>
      <c r="I22" s="69">
        <v>71.47</v>
      </c>
      <c r="J22" s="47">
        <v>0</v>
      </c>
      <c r="K22" s="70" t="s">
        <v>395</v>
      </c>
    </row>
    <row r="23" spans="2:11" x14ac:dyDescent="0.25">
      <c r="B23" s="10" t="s">
        <v>97</v>
      </c>
      <c r="C23" s="10" t="s">
        <v>18</v>
      </c>
      <c r="D23" s="60" t="s">
        <v>98</v>
      </c>
      <c r="E23" s="46">
        <v>15</v>
      </c>
      <c r="F23" s="46">
        <v>4</v>
      </c>
      <c r="G23" s="68" t="s">
        <v>397</v>
      </c>
      <c r="H23" s="47">
        <v>3300</v>
      </c>
      <c r="I23" s="69">
        <v>21.74</v>
      </c>
      <c r="J23" s="47">
        <v>0</v>
      </c>
      <c r="K23" s="70" t="s">
        <v>395</v>
      </c>
    </row>
    <row r="24" spans="2:11" x14ac:dyDescent="0.25">
      <c r="B24" s="10" t="s">
        <v>142</v>
      </c>
      <c r="C24" s="10" t="s">
        <v>18</v>
      </c>
      <c r="D24" s="60" t="s">
        <v>115</v>
      </c>
      <c r="E24" s="46">
        <v>19</v>
      </c>
      <c r="F24" s="46">
        <v>2</v>
      </c>
      <c r="G24" s="68" t="s">
        <v>397</v>
      </c>
      <c r="H24" s="47">
        <v>1650</v>
      </c>
      <c r="I24" s="69">
        <v>83.83999999999999</v>
      </c>
      <c r="J24" s="47">
        <v>0</v>
      </c>
      <c r="K24" s="70" t="s">
        <v>395</v>
      </c>
    </row>
    <row r="25" spans="2:11" x14ac:dyDescent="0.25">
      <c r="B25" s="10" t="s">
        <v>203</v>
      </c>
      <c r="C25" s="10" t="s">
        <v>18</v>
      </c>
      <c r="D25" s="60" t="s">
        <v>137</v>
      </c>
      <c r="E25" s="46">
        <v>21</v>
      </c>
      <c r="F25" s="46">
        <v>1</v>
      </c>
      <c r="G25" s="68" t="s">
        <v>398</v>
      </c>
      <c r="H25" s="47">
        <v>825</v>
      </c>
      <c r="I25" s="69">
        <v>4.6</v>
      </c>
      <c r="J25" s="47">
        <v>0</v>
      </c>
      <c r="K25" s="70" t="s">
        <v>395</v>
      </c>
    </row>
    <row r="26" spans="2:11" x14ac:dyDescent="0.25">
      <c r="B26" s="10" t="s">
        <v>108</v>
      </c>
      <c r="C26" s="10" t="s">
        <v>17</v>
      </c>
      <c r="D26" s="60" t="s">
        <v>109</v>
      </c>
      <c r="E26" s="46">
        <v>29</v>
      </c>
      <c r="F26" s="46">
        <v>7</v>
      </c>
      <c r="G26" s="68" t="s">
        <v>396</v>
      </c>
      <c r="H26" s="47">
        <v>5775</v>
      </c>
      <c r="I26" s="69">
        <v>95.83</v>
      </c>
      <c r="J26" s="47">
        <v>0</v>
      </c>
      <c r="K26" s="70" t="s">
        <v>395</v>
      </c>
    </row>
    <row r="27" spans="2:11" x14ac:dyDescent="0.25">
      <c r="B27" s="10" t="s">
        <v>204</v>
      </c>
      <c r="C27" s="10" t="s">
        <v>17</v>
      </c>
      <c r="D27" s="60" t="s">
        <v>205</v>
      </c>
      <c r="E27" s="46">
        <v>30</v>
      </c>
      <c r="F27" s="46">
        <v>1</v>
      </c>
      <c r="G27" s="68" t="s">
        <v>398</v>
      </c>
      <c r="H27" s="47">
        <v>825</v>
      </c>
      <c r="I27" s="69">
        <v>46.8</v>
      </c>
      <c r="J27" s="47">
        <v>0</v>
      </c>
      <c r="K27" s="71" t="s">
        <v>399</v>
      </c>
    </row>
    <row r="28" spans="2:11" x14ac:dyDescent="0.25">
      <c r="B28" s="10" t="s">
        <v>206</v>
      </c>
      <c r="C28" s="10" t="s">
        <v>18</v>
      </c>
      <c r="D28" s="60" t="s">
        <v>65</v>
      </c>
      <c r="E28" s="46">
        <v>33</v>
      </c>
      <c r="F28" s="46">
        <v>1</v>
      </c>
      <c r="G28" s="68" t="s">
        <v>396</v>
      </c>
      <c r="H28" s="47">
        <v>825</v>
      </c>
      <c r="I28" s="69">
        <v>63.36</v>
      </c>
      <c r="J28" s="47">
        <v>0</v>
      </c>
      <c r="K28" s="71" t="s">
        <v>399</v>
      </c>
    </row>
    <row r="29" spans="2:11" x14ac:dyDescent="0.25">
      <c r="B29" s="10" t="s">
        <v>117</v>
      </c>
      <c r="C29" s="10" t="s">
        <v>17</v>
      </c>
      <c r="D29" s="60" t="s">
        <v>71</v>
      </c>
      <c r="E29" s="46">
        <v>34</v>
      </c>
      <c r="F29" s="46">
        <v>3</v>
      </c>
      <c r="G29" s="68" t="s">
        <v>396</v>
      </c>
      <c r="H29" s="47">
        <v>2475</v>
      </c>
      <c r="I29" s="69">
        <v>9.69</v>
      </c>
      <c r="J29" s="47">
        <v>0</v>
      </c>
      <c r="K29" s="71" t="s">
        <v>399</v>
      </c>
    </row>
    <row r="30" spans="2:11" x14ac:dyDescent="0.25">
      <c r="B30" s="10" t="s">
        <v>207</v>
      </c>
      <c r="C30" s="10" t="s">
        <v>17</v>
      </c>
      <c r="D30" s="60" t="s">
        <v>80</v>
      </c>
      <c r="E30" s="46">
        <v>36</v>
      </c>
      <c r="F30" s="46">
        <v>1</v>
      </c>
      <c r="G30" s="68" t="s">
        <v>396</v>
      </c>
      <c r="H30" s="47">
        <v>825</v>
      </c>
      <c r="I30" s="69">
        <v>67.51</v>
      </c>
      <c r="J30" s="47">
        <v>0</v>
      </c>
      <c r="K30" s="71" t="s">
        <v>399</v>
      </c>
    </row>
    <row r="31" spans="2:11" x14ac:dyDescent="0.25">
      <c r="B31" s="10" t="s">
        <v>169</v>
      </c>
      <c r="C31" s="10" t="s">
        <v>18</v>
      </c>
      <c r="D31" s="60" t="s">
        <v>170</v>
      </c>
      <c r="E31" s="46">
        <v>37</v>
      </c>
      <c r="F31" s="46">
        <v>1</v>
      </c>
      <c r="G31" s="68" t="s">
        <v>398</v>
      </c>
      <c r="H31" s="47">
        <v>825</v>
      </c>
      <c r="I31" s="69">
        <v>78.62</v>
      </c>
      <c r="J31" s="47">
        <v>0</v>
      </c>
      <c r="K31" s="71" t="s">
        <v>399</v>
      </c>
    </row>
    <row r="32" spans="2:11" x14ac:dyDescent="0.25">
      <c r="B32" s="10" t="s">
        <v>161</v>
      </c>
      <c r="C32" s="10" t="s">
        <v>18</v>
      </c>
      <c r="D32" s="60" t="s">
        <v>61</v>
      </c>
      <c r="E32" s="46">
        <v>40</v>
      </c>
      <c r="F32" s="46">
        <v>2</v>
      </c>
      <c r="G32" s="68" t="s">
        <v>398</v>
      </c>
      <c r="H32" s="47">
        <v>1650</v>
      </c>
      <c r="I32" s="69">
        <v>9.68</v>
      </c>
      <c r="J32" s="47">
        <v>0</v>
      </c>
      <c r="K32" s="71" t="s">
        <v>399</v>
      </c>
    </row>
    <row r="33" spans="2:11" x14ac:dyDescent="0.25">
      <c r="B33" s="10" t="s">
        <v>81</v>
      </c>
      <c r="C33" s="10" t="s">
        <v>18</v>
      </c>
      <c r="D33" s="60" t="s">
        <v>61</v>
      </c>
      <c r="E33" s="46">
        <v>40</v>
      </c>
      <c r="F33" s="46">
        <v>2</v>
      </c>
      <c r="G33" s="68" t="s">
        <v>396</v>
      </c>
      <c r="H33" s="47">
        <v>1650</v>
      </c>
      <c r="I33" s="69">
        <v>82.83</v>
      </c>
      <c r="J33" s="47">
        <v>0</v>
      </c>
      <c r="K33" s="71" t="s">
        <v>399</v>
      </c>
    </row>
    <row r="34" spans="2:11" x14ac:dyDescent="0.25">
      <c r="B34" s="10" t="s">
        <v>60</v>
      </c>
      <c r="C34" s="10" t="s">
        <v>17</v>
      </c>
      <c r="D34" s="60" t="s">
        <v>61</v>
      </c>
      <c r="E34" s="46">
        <v>40</v>
      </c>
      <c r="F34" s="46">
        <v>4</v>
      </c>
      <c r="G34" s="68" t="s">
        <v>398</v>
      </c>
      <c r="H34" s="47">
        <v>3300</v>
      </c>
      <c r="I34" s="69">
        <v>15.66</v>
      </c>
      <c r="J34" s="47">
        <v>0</v>
      </c>
      <c r="K34" s="71" t="s">
        <v>399</v>
      </c>
    </row>
    <row r="35" spans="2:11" x14ac:dyDescent="0.25">
      <c r="B35" s="10" t="s">
        <v>118</v>
      </c>
      <c r="C35" s="10" t="s">
        <v>18</v>
      </c>
      <c r="D35" s="60" t="s">
        <v>90</v>
      </c>
      <c r="E35" s="46">
        <v>41</v>
      </c>
      <c r="F35" s="46">
        <v>8</v>
      </c>
      <c r="G35" s="68" t="s">
        <v>396</v>
      </c>
      <c r="H35" s="47">
        <v>6600</v>
      </c>
      <c r="I35" s="69">
        <v>136.98000000000002</v>
      </c>
      <c r="J35" s="47">
        <v>0</v>
      </c>
      <c r="K35" s="71" t="s">
        <v>399</v>
      </c>
    </row>
    <row r="36" spans="2:11" x14ac:dyDescent="0.25">
      <c r="B36" s="10" t="s">
        <v>86</v>
      </c>
      <c r="C36" s="10" t="s">
        <v>18</v>
      </c>
      <c r="D36" s="60" t="s">
        <v>87</v>
      </c>
      <c r="E36" s="46">
        <v>42</v>
      </c>
      <c r="F36" s="46">
        <v>3</v>
      </c>
      <c r="G36" s="68" t="s">
        <v>396</v>
      </c>
      <c r="H36" s="47">
        <v>2475</v>
      </c>
      <c r="I36" s="69">
        <v>9.69</v>
      </c>
      <c r="J36" s="47">
        <v>0</v>
      </c>
      <c r="K36" s="71" t="s">
        <v>399</v>
      </c>
    </row>
    <row r="37" spans="2:11" x14ac:dyDescent="0.25">
      <c r="B37" s="10" t="s">
        <v>88</v>
      </c>
      <c r="C37" s="10" t="s">
        <v>17</v>
      </c>
      <c r="D37" s="60" t="s">
        <v>89</v>
      </c>
      <c r="E37" s="46">
        <v>47</v>
      </c>
      <c r="F37" s="46">
        <v>4</v>
      </c>
      <c r="G37" s="68" t="s">
        <v>397</v>
      </c>
      <c r="H37" s="47">
        <v>3300</v>
      </c>
      <c r="I37" s="69">
        <v>20.73</v>
      </c>
      <c r="J37" s="47">
        <v>0</v>
      </c>
      <c r="K37" s="71" t="s">
        <v>399</v>
      </c>
    </row>
    <row r="38" spans="2:11" x14ac:dyDescent="0.25">
      <c r="B38" s="10" t="s">
        <v>208</v>
      </c>
      <c r="C38" s="10" t="s">
        <v>18</v>
      </c>
      <c r="D38" s="60" t="s">
        <v>89</v>
      </c>
      <c r="E38" s="46">
        <v>47</v>
      </c>
      <c r="F38" s="46">
        <v>1</v>
      </c>
      <c r="G38" s="68" t="s">
        <v>396</v>
      </c>
      <c r="H38" s="47">
        <v>825</v>
      </c>
      <c r="I38" s="69">
        <v>3.23</v>
      </c>
      <c r="J38" s="47">
        <v>0</v>
      </c>
      <c r="K38" s="71" t="s">
        <v>399</v>
      </c>
    </row>
    <row r="39" spans="2:11" x14ac:dyDescent="0.25">
      <c r="B39" s="10" t="s">
        <v>78</v>
      </c>
      <c r="C39" s="10" t="s">
        <v>17</v>
      </c>
      <c r="D39" s="60" t="s">
        <v>79</v>
      </c>
      <c r="E39" s="46">
        <v>49</v>
      </c>
      <c r="F39" s="46">
        <v>2</v>
      </c>
      <c r="G39" s="68" t="s">
        <v>396</v>
      </c>
      <c r="H39" s="47">
        <v>1650</v>
      </c>
      <c r="I39" s="69">
        <v>7.83</v>
      </c>
      <c r="J39" s="47">
        <v>0</v>
      </c>
      <c r="K39" s="71" t="s">
        <v>399</v>
      </c>
    </row>
    <row r="40" spans="2:11" x14ac:dyDescent="0.25">
      <c r="B40" s="10" t="s">
        <v>100</v>
      </c>
      <c r="C40" s="10" t="s">
        <v>17</v>
      </c>
      <c r="D40" s="60" t="s">
        <v>101</v>
      </c>
      <c r="E40" s="46">
        <v>50</v>
      </c>
      <c r="F40" s="46">
        <v>2</v>
      </c>
      <c r="G40" s="68" t="s">
        <v>396</v>
      </c>
      <c r="H40" s="47">
        <v>1650</v>
      </c>
      <c r="I40" s="69">
        <v>7.83</v>
      </c>
      <c r="J40" s="47">
        <v>0</v>
      </c>
      <c r="K40" s="71" t="s">
        <v>399</v>
      </c>
    </row>
    <row r="41" spans="2:11" x14ac:dyDescent="0.25">
      <c r="B41" s="10" t="s">
        <v>209</v>
      </c>
      <c r="C41" s="10" t="s">
        <v>17</v>
      </c>
      <c r="D41" s="60" t="s">
        <v>99</v>
      </c>
      <c r="E41" s="46">
        <v>51</v>
      </c>
      <c r="F41" s="46">
        <v>2</v>
      </c>
      <c r="G41" s="68" t="s">
        <v>398</v>
      </c>
      <c r="H41" s="47">
        <v>1650</v>
      </c>
      <c r="I41" s="69">
        <v>173.74</v>
      </c>
      <c r="J41" s="47">
        <v>0</v>
      </c>
      <c r="K41" s="71" t="s">
        <v>399</v>
      </c>
    </row>
    <row r="42" spans="2:11" x14ac:dyDescent="0.25">
      <c r="B42" s="10" t="s">
        <v>122</v>
      </c>
      <c r="C42" s="10" t="s">
        <v>17</v>
      </c>
      <c r="D42" s="60" t="s">
        <v>99</v>
      </c>
      <c r="E42" s="46">
        <v>51</v>
      </c>
      <c r="F42" s="46">
        <v>2</v>
      </c>
      <c r="G42" s="68" t="s">
        <v>396</v>
      </c>
      <c r="H42" s="47">
        <v>1650</v>
      </c>
      <c r="I42" s="69">
        <v>82.83</v>
      </c>
      <c r="J42" s="47">
        <v>0</v>
      </c>
      <c r="K42" s="71" t="s">
        <v>399</v>
      </c>
    </row>
    <row r="43" spans="2:11" x14ac:dyDescent="0.25">
      <c r="B43" s="10" t="s">
        <v>134</v>
      </c>
      <c r="C43" s="10" t="s">
        <v>18</v>
      </c>
      <c r="D43" s="60" t="s">
        <v>135</v>
      </c>
      <c r="E43" s="46">
        <v>57</v>
      </c>
      <c r="F43" s="46">
        <v>2</v>
      </c>
      <c r="G43" s="68" t="s">
        <v>398</v>
      </c>
      <c r="H43" s="47">
        <v>1650</v>
      </c>
      <c r="I43" s="69">
        <v>7.83</v>
      </c>
      <c r="J43" s="47">
        <v>0</v>
      </c>
      <c r="K43" s="71" t="s">
        <v>399</v>
      </c>
    </row>
    <row r="44" spans="2:11" x14ac:dyDescent="0.25">
      <c r="B44" s="10" t="s">
        <v>210</v>
      </c>
      <c r="C44" s="10" t="s">
        <v>18</v>
      </c>
      <c r="D44" s="60" t="s">
        <v>135</v>
      </c>
      <c r="E44" s="46">
        <v>57</v>
      </c>
      <c r="F44" s="46">
        <v>2</v>
      </c>
      <c r="G44" s="68" t="s">
        <v>398</v>
      </c>
      <c r="H44" s="47">
        <v>1650</v>
      </c>
      <c r="I44" s="69">
        <v>86.47</v>
      </c>
      <c r="J44" s="47">
        <v>0</v>
      </c>
      <c r="K44" s="71" t="s">
        <v>399</v>
      </c>
    </row>
    <row r="45" spans="2:11" x14ac:dyDescent="0.25">
      <c r="B45" s="10" t="s">
        <v>138</v>
      </c>
      <c r="C45" s="10" t="s">
        <v>17</v>
      </c>
      <c r="D45" s="60" t="s">
        <v>106</v>
      </c>
      <c r="E45" s="46">
        <v>58</v>
      </c>
      <c r="F45" s="46">
        <v>2</v>
      </c>
      <c r="G45" s="68" t="s">
        <v>396</v>
      </c>
      <c r="H45" s="47">
        <v>1650</v>
      </c>
      <c r="I45" s="69">
        <v>82.83</v>
      </c>
      <c r="J45" s="47">
        <v>0</v>
      </c>
      <c r="K45" s="71" t="s">
        <v>399</v>
      </c>
    </row>
    <row r="46" spans="2:11" x14ac:dyDescent="0.25">
      <c r="B46" s="10" t="s">
        <v>136</v>
      </c>
      <c r="C46" s="10" t="s">
        <v>17</v>
      </c>
      <c r="D46" s="60" t="s">
        <v>106</v>
      </c>
      <c r="E46" s="46">
        <v>58</v>
      </c>
      <c r="F46" s="46">
        <v>2</v>
      </c>
      <c r="G46" s="68" t="s">
        <v>396</v>
      </c>
      <c r="H46" s="47">
        <v>1650</v>
      </c>
      <c r="I46" s="69">
        <v>82.83</v>
      </c>
      <c r="J46" s="47">
        <v>0</v>
      </c>
      <c r="K46" s="71" t="s">
        <v>399</v>
      </c>
    </row>
    <row r="47" spans="2:11" x14ac:dyDescent="0.25">
      <c r="B47" s="10" t="s">
        <v>211</v>
      </c>
      <c r="C47" s="10" t="s">
        <v>18</v>
      </c>
      <c r="D47" s="60" t="s">
        <v>212</v>
      </c>
      <c r="E47" s="46">
        <v>61</v>
      </c>
      <c r="F47" s="46">
        <v>1</v>
      </c>
      <c r="G47" s="68" t="s">
        <v>398</v>
      </c>
      <c r="H47" s="47">
        <v>825</v>
      </c>
      <c r="I47" s="69">
        <v>74.24</v>
      </c>
      <c r="J47" s="47">
        <v>0</v>
      </c>
      <c r="K47" s="72" t="s">
        <v>400</v>
      </c>
    </row>
    <row r="48" spans="2:11" x14ac:dyDescent="0.25">
      <c r="B48" s="10" t="s">
        <v>128</v>
      </c>
      <c r="C48" s="10" t="s">
        <v>18</v>
      </c>
      <c r="D48" s="60" t="s">
        <v>129</v>
      </c>
      <c r="E48" s="46">
        <v>66</v>
      </c>
      <c r="F48" s="46">
        <v>2</v>
      </c>
      <c r="G48" s="68" t="s">
        <v>398</v>
      </c>
      <c r="H48" s="47">
        <v>1650</v>
      </c>
      <c r="I48" s="69">
        <v>86.47</v>
      </c>
      <c r="J48" s="47">
        <v>0</v>
      </c>
      <c r="K48" s="72" t="s">
        <v>400</v>
      </c>
    </row>
    <row r="49" spans="2:11" x14ac:dyDescent="0.25">
      <c r="B49" s="10" t="s">
        <v>139</v>
      </c>
      <c r="C49" s="10" t="s">
        <v>18</v>
      </c>
      <c r="D49" s="60" t="s">
        <v>140</v>
      </c>
      <c r="E49" s="46">
        <v>71</v>
      </c>
      <c r="F49" s="46">
        <v>2</v>
      </c>
      <c r="G49" s="68" t="s">
        <v>396</v>
      </c>
      <c r="H49" s="47">
        <v>1650</v>
      </c>
      <c r="I49" s="69">
        <v>100.26</v>
      </c>
      <c r="J49" s="47">
        <v>0</v>
      </c>
      <c r="K49" s="72" t="s">
        <v>400</v>
      </c>
    </row>
    <row r="50" spans="2:11" x14ac:dyDescent="0.25">
      <c r="B50" s="10" t="s">
        <v>213</v>
      </c>
      <c r="C50" s="10" t="s">
        <v>17</v>
      </c>
      <c r="D50" s="60" t="s">
        <v>214</v>
      </c>
      <c r="E50" s="46">
        <v>72</v>
      </c>
      <c r="F50" s="46">
        <v>2</v>
      </c>
      <c r="G50" s="68" t="s">
        <v>396</v>
      </c>
      <c r="H50" s="47">
        <v>1650</v>
      </c>
      <c r="I50" s="69">
        <v>103.21</v>
      </c>
      <c r="J50" s="47">
        <v>0</v>
      </c>
      <c r="K50" s="72" t="s">
        <v>400</v>
      </c>
    </row>
    <row r="51" spans="2:11" x14ac:dyDescent="0.25">
      <c r="B51" s="10" t="s">
        <v>111</v>
      </c>
      <c r="C51" s="10" t="s">
        <v>18</v>
      </c>
      <c r="D51" s="60" t="s">
        <v>113</v>
      </c>
      <c r="E51" s="46">
        <v>78</v>
      </c>
      <c r="F51" s="46">
        <v>3</v>
      </c>
      <c r="G51" s="68" t="s">
        <v>397</v>
      </c>
      <c r="H51" s="47">
        <v>2475</v>
      </c>
      <c r="I51" s="69">
        <v>19.35</v>
      </c>
      <c r="J51" s="47">
        <v>0</v>
      </c>
      <c r="K51" s="72" t="s">
        <v>400</v>
      </c>
    </row>
    <row r="52" spans="2:11" x14ac:dyDescent="0.25">
      <c r="B52" s="10" t="s">
        <v>178</v>
      </c>
      <c r="C52" s="10" t="s">
        <v>18</v>
      </c>
      <c r="D52" s="60" t="s">
        <v>179</v>
      </c>
      <c r="E52" s="46">
        <v>93</v>
      </c>
      <c r="F52" s="46">
        <v>3</v>
      </c>
      <c r="G52" s="68" t="s">
        <v>398</v>
      </c>
      <c r="H52" s="47">
        <v>2475</v>
      </c>
      <c r="I52" s="69">
        <v>88.99000000000001</v>
      </c>
      <c r="J52" s="47">
        <v>0</v>
      </c>
      <c r="K52" s="72" t="s">
        <v>400</v>
      </c>
    </row>
    <row r="53" spans="2:11" x14ac:dyDescent="0.25">
      <c r="B53" s="10" t="s">
        <v>147</v>
      </c>
      <c r="C53" s="10" t="s">
        <v>18</v>
      </c>
      <c r="D53" s="60" t="s">
        <v>96</v>
      </c>
      <c r="E53" s="46">
        <v>106</v>
      </c>
      <c r="F53" s="46">
        <v>1</v>
      </c>
      <c r="G53" s="68" t="s">
        <v>398</v>
      </c>
      <c r="H53" s="47">
        <v>825</v>
      </c>
      <c r="I53" s="69">
        <v>89.24</v>
      </c>
      <c r="J53" s="47">
        <v>0</v>
      </c>
      <c r="K53" s="72" t="s">
        <v>400</v>
      </c>
    </row>
    <row r="54" spans="2:11" x14ac:dyDescent="0.25">
      <c r="B54" s="10" t="s">
        <v>215</v>
      </c>
      <c r="C54" s="10" t="s">
        <v>18</v>
      </c>
      <c r="D54" s="60" t="s">
        <v>216</v>
      </c>
      <c r="E54" s="46">
        <v>111</v>
      </c>
      <c r="F54" s="46">
        <v>1</v>
      </c>
      <c r="G54" s="68" t="s">
        <v>398</v>
      </c>
      <c r="H54" s="47">
        <v>825</v>
      </c>
      <c r="I54" s="69">
        <v>96.84</v>
      </c>
      <c r="J54" s="47">
        <v>0</v>
      </c>
      <c r="K54" s="72" t="s">
        <v>400</v>
      </c>
    </row>
    <row r="55" spans="2:11" x14ac:dyDescent="0.25">
      <c r="B55" s="10" t="s">
        <v>180</v>
      </c>
      <c r="C55" s="10" t="s">
        <v>18</v>
      </c>
      <c r="D55" s="60" t="s">
        <v>181</v>
      </c>
      <c r="E55" s="46">
        <v>117</v>
      </c>
      <c r="F55" s="46">
        <v>1</v>
      </c>
      <c r="G55" s="68" t="s">
        <v>396</v>
      </c>
      <c r="H55" s="47">
        <v>825</v>
      </c>
      <c r="I55" s="69">
        <v>80.38</v>
      </c>
      <c r="J55" s="47">
        <v>0</v>
      </c>
      <c r="K55" s="72" t="s">
        <v>400</v>
      </c>
    </row>
    <row r="56" spans="2:11" x14ac:dyDescent="0.25">
      <c r="B56" s="10" t="s">
        <v>72</v>
      </c>
      <c r="C56" s="10" t="s">
        <v>17</v>
      </c>
      <c r="D56" s="60" t="s">
        <v>82</v>
      </c>
      <c r="E56" s="46">
        <v>28</v>
      </c>
      <c r="F56" s="46">
        <v>2</v>
      </c>
      <c r="G56" s="68" t="s">
        <v>396</v>
      </c>
      <c r="H56" s="47">
        <v>1650</v>
      </c>
      <c r="I56" s="69">
        <v>9.2</v>
      </c>
      <c r="J56" s="73">
        <v>1800</v>
      </c>
      <c r="K56" s="74" t="s">
        <v>401</v>
      </c>
    </row>
    <row r="57" spans="2:11" x14ac:dyDescent="0.25">
      <c r="B57" s="10" t="s">
        <v>69</v>
      </c>
      <c r="C57" s="10" t="s">
        <v>17</v>
      </c>
      <c r="D57" s="60" t="s">
        <v>109</v>
      </c>
      <c r="E57" s="46">
        <v>29</v>
      </c>
      <c r="F57" s="46">
        <v>7</v>
      </c>
      <c r="G57" s="68" t="s">
        <v>398</v>
      </c>
      <c r="H57" s="47">
        <v>5775</v>
      </c>
      <c r="I57" s="69">
        <v>70.5</v>
      </c>
      <c r="J57" s="73">
        <v>3600</v>
      </c>
      <c r="K57" s="74" t="s">
        <v>401</v>
      </c>
    </row>
    <row r="58" spans="2:11" x14ac:dyDescent="0.25">
      <c r="B58" s="10" t="s">
        <v>102</v>
      </c>
      <c r="C58" s="10" t="s">
        <v>17</v>
      </c>
      <c r="D58" s="60" t="s">
        <v>90</v>
      </c>
      <c r="E58" s="46">
        <v>41</v>
      </c>
      <c r="F58" s="46">
        <v>2</v>
      </c>
      <c r="G58" s="68" t="s">
        <v>396</v>
      </c>
      <c r="H58" s="47">
        <v>1650</v>
      </c>
      <c r="I58" s="69">
        <v>208.23000000000002</v>
      </c>
      <c r="J58" s="73">
        <v>1800</v>
      </c>
      <c r="K58" s="74" t="s">
        <v>401</v>
      </c>
    </row>
    <row r="59" spans="2:11" x14ac:dyDescent="0.25">
      <c r="B59" s="10" t="s">
        <v>84</v>
      </c>
      <c r="C59" s="10" t="s">
        <v>18</v>
      </c>
      <c r="D59" s="60" t="s">
        <v>89</v>
      </c>
      <c r="E59" s="46">
        <v>47</v>
      </c>
      <c r="F59" s="46">
        <v>2</v>
      </c>
      <c r="G59" s="68" t="s">
        <v>398</v>
      </c>
      <c r="H59" s="47">
        <v>1650</v>
      </c>
      <c r="I59" s="69">
        <v>80.56</v>
      </c>
      <c r="J59" s="73">
        <v>10800</v>
      </c>
      <c r="K59" s="74" t="s">
        <v>401</v>
      </c>
    </row>
    <row r="60" spans="2:11" x14ac:dyDescent="0.25">
      <c r="B60" s="10" t="s">
        <v>114</v>
      </c>
      <c r="C60" s="10" t="s">
        <v>17</v>
      </c>
      <c r="D60" s="60" t="s">
        <v>93</v>
      </c>
      <c r="E60" s="46">
        <v>69</v>
      </c>
      <c r="F60" s="46">
        <v>2</v>
      </c>
      <c r="G60" s="68" t="s">
        <v>396</v>
      </c>
      <c r="H60" s="47">
        <v>1650</v>
      </c>
      <c r="I60" s="69">
        <v>84.2</v>
      </c>
      <c r="J60" s="73">
        <v>1275</v>
      </c>
      <c r="K60" s="74" t="s">
        <v>401</v>
      </c>
    </row>
    <row r="61" spans="2:11" x14ac:dyDescent="0.25">
      <c r="B61" s="10" t="s">
        <v>83</v>
      </c>
      <c r="C61" s="10" t="s">
        <v>18</v>
      </c>
      <c r="D61" s="60" t="s">
        <v>301</v>
      </c>
      <c r="E61" s="46">
        <v>98</v>
      </c>
      <c r="F61" s="46">
        <v>1</v>
      </c>
      <c r="G61" s="68" t="s">
        <v>398</v>
      </c>
      <c r="H61" s="47">
        <v>825</v>
      </c>
      <c r="I61" s="69">
        <v>83.83</v>
      </c>
      <c r="J61" s="73">
        <v>1800</v>
      </c>
      <c r="K61" s="74" t="s">
        <v>401</v>
      </c>
    </row>
    <row r="62" spans="2:11" x14ac:dyDescent="0.25">
      <c r="B62" s="10" t="s">
        <v>146</v>
      </c>
      <c r="C62" s="10" t="s">
        <v>18</v>
      </c>
      <c r="D62" s="60" t="s">
        <v>301</v>
      </c>
      <c r="E62" s="46">
        <v>98</v>
      </c>
      <c r="F62" s="46">
        <v>1</v>
      </c>
      <c r="G62" s="68" t="s">
        <v>398</v>
      </c>
      <c r="H62" s="47">
        <v>825</v>
      </c>
      <c r="I62" s="69">
        <v>6.45</v>
      </c>
      <c r="J62" s="73">
        <v>2400</v>
      </c>
      <c r="K62" s="74" t="s">
        <v>401</v>
      </c>
    </row>
    <row r="63" spans="2:11" x14ac:dyDescent="0.25">
      <c r="B63" s="10" t="s">
        <v>156</v>
      </c>
      <c r="C63" s="10" t="s">
        <v>18</v>
      </c>
      <c r="D63" s="60" t="s">
        <v>235</v>
      </c>
      <c r="E63" s="46">
        <v>194</v>
      </c>
      <c r="F63" s="46">
        <v>3</v>
      </c>
      <c r="G63" s="68" t="s">
        <v>396</v>
      </c>
      <c r="H63" s="47">
        <v>0</v>
      </c>
      <c r="I63" s="69">
        <v>32.7</v>
      </c>
      <c r="J63" s="73">
        <v>1800</v>
      </c>
      <c r="K63" s="74" t="s">
        <v>401</v>
      </c>
    </row>
    <row r="64" spans="2:9" x14ac:dyDescent="0.25">
      <c r="B64" s="75" t="s">
        <v>402</v>
      </c>
      <c r="H64" s="76">
        <f>SUM(H16:H63)</f>
        <v>105600</v>
      </c>
      <c r="I64" s="76">
        <f>SUM(I16:I63)</f>
        <v>3047.919999999999</v>
      </c>
    </row>
    <row r="66" ht="36" customHeight="1" spans="2:11" x14ac:dyDescent="0.25">
      <c r="B66" s="66" t="s">
        <v>403</v>
      </c>
      <c r="C66" s="66"/>
      <c r="D66" s="66"/>
      <c r="E66" s="66"/>
      <c r="F66" s="66"/>
      <c r="G66" s="66"/>
      <c r="H66" s="66"/>
      <c r="I66" s="66"/>
      <c r="J66" s="66"/>
      <c r="K66" s="66"/>
    </row>
    <row r="69" ht="28" customHeight="1" spans="2:11" x14ac:dyDescent="0.25">
      <c r="B69" s="7" t="s">
        <v>404</v>
      </c>
      <c r="C69" s="7"/>
      <c r="D69" s="7"/>
      <c r="E69" s="7"/>
      <c r="F69" s="7"/>
      <c r="G69" s="7"/>
      <c r="H69" s="7"/>
      <c r="I69" s="7"/>
      <c r="J69" s="7"/>
      <c r="K69" s="7"/>
    </row>
    <row r="70" ht="32" customHeight="1" spans="2:11" x14ac:dyDescent="0.25">
      <c r="B70" s="9" t="s">
        <v>219</v>
      </c>
      <c r="C70" s="9" t="s">
        <v>46</v>
      </c>
      <c r="D70" s="9" t="s">
        <v>405</v>
      </c>
      <c r="E70" s="9" t="s">
        <v>406</v>
      </c>
      <c r="F70" s="9" t="s">
        <v>261</v>
      </c>
      <c r="G70" s="9" t="s">
        <v>407</v>
      </c>
      <c r="H70" s="9" t="s">
        <v>408</v>
      </c>
      <c r="I70" s="9" t="s">
        <v>409</v>
      </c>
      <c r="J70" s="9" t="s">
        <v>410</v>
      </c>
      <c r="K70" s="9" t="s">
        <v>411</v>
      </c>
    </row>
    <row r="71" ht="32" customHeight="1" spans="2:11" x14ac:dyDescent="0.25">
      <c r="B71" s="77" t="s">
        <v>75</v>
      </c>
      <c r="C71" s="77" t="s">
        <v>17</v>
      </c>
      <c r="D71" s="77" t="s">
        <v>412</v>
      </c>
      <c r="E71" s="77" t="s">
        <v>230</v>
      </c>
      <c r="F71" s="78">
        <v>2</v>
      </c>
      <c r="G71" s="78" t="s">
        <v>398</v>
      </c>
      <c r="H71" s="79">
        <v>1650</v>
      </c>
      <c r="I71" s="79">
        <v>17.66</v>
      </c>
      <c r="J71" s="79">
        <v>0</v>
      </c>
      <c r="K71" s="77" t="s">
        <v>413</v>
      </c>
    </row>
    <row r="72" ht="32" customHeight="1" spans="2:11" x14ac:dyDescent="0.25">
      <c r="B72" s="77" t="s">
        <v>75</v>
      </c>
      <c r="C72" s="77" t="s">
        <v>17</v>
      </c>
      <c r="D72" s="77" t="s">
        <v>414</v>
      </c>
      <c r="E72" s="77" t="s">
        <v>87</v>
      </c>
      <c r="F72" s="78">
        <v>2</v>
      </c>
      <c r="G72" s="78" t="s">
        <v>396</v>
      </c>
      <c r="H72" s="79">
        <v>1650</v>
      </c>
      <c r="I72" s="79">
        <v>7.83</v>
      </c>
      <c r="J72" s="79">
        <v>0</v>
      </c>
      <c r="K72" s="77" t="s">
        <v>413</v>
      </c>
    </row>
    <row r="73" ht="32" customHeight="1" spans="2:11" x14ac:dyDescent="0.25">
      <c r="B73" s="77" t="s">
        <v>75</v>
      </c>
      <c r="C73" s="77" t="s">
        <v>17</v>
      </c>
      <c r="D73" s="77" t="s">
        <v>415</v>
      </c>
      <c r="E73" s="77" t="s">
        <v>170</v>
      </c>
      <c r="F73" s="78">
        <v>2</v>
      </c>
      <c r="G73" s="78" t="s">
        <v>398</v>
      </c>
      <c r="H73" s="79">
        <v>1650</v>
      </c>
      <c r="I73" s="79">
        <v>7.83</v>
      </c>
      <c r="J73" s="79">
        <v>0</v>
      </c>
      <c r="K73" s="77" t="s">
        <v>413</v>
      </c>
    </row>
    <row r="74" ht="32" customHeight="1" spans="2:11" x14ac:dyDescent="0.25">
      <c r="B74" s="77" t="s">
        <v>75</v>
      </c>
      <c r="C74" s="77" t="s">
        <v>17</v>
      </c>
      <c r="D74" s="77" t="s">
        <v>416</v>
      </c>
      <c r="E74" s="77" t="s">
        <v>67</v>
      </c>
      <c r="F74" s="78">
        <v>4</v>
      </c>
      <c r="G74" s="78" t="s">
        <v>396</v>
      </c>
      <c r="H74" s="79">
        <v>3300</v>
      </c>
      <c r="I74" s="79">
        <v>51.54</v>
      </c>
      <c r="J74" s="79">
        <v>-38.62</v>
      </c>
      <c r="K74" s="77" t="s">
        <v>417</v>
      </c>
    </row>
    <row r="75" ht="32" customHeight="1" spans="2:11" x14ac:dyDescent="0.25">
      <c r="B75" s="77" t="s">
        <v>200</v>
      </c>
      <c r="C75" s="77" t="s">
        <v>18</v>
      </c>
      <c r="D75" s="77" t="s">
        <v>418</v>
      </c>
      <c r="E75" s="77" t="s">
        <v>191</v>
      </c>
      <c r="F75" s="78">
        <v>1</v>
      </c>
      <c r="G75" s="78" t="s">
        <v>396</v>
      </c>
      <c r="H75" s="79">
        <v>825</v>
      </c>
      <c r="I75" s="79">
        <v>79.54</v>
      </c>
      <c r="J75" s="79">
        <v>-73.09</v>
      </c>
      <c r="K75" s="77" t="s">
        <v>413</v>
      </c>
    </row>
    <row r="76" ht="32" customHeight="1" spans="2:11" x14ac:dyDescent="0.25">
      <c r="B76" s="77" t="s">
        <v>200</v>
      </c>
      <c r="C76" s="77" t="s">
        <v>18</v>
      </c>
      <c r="D76" s="77" t="s">
        <v>419</v>
      </c>
      <c r="E76" s="77" t="s">
        <v>67</v>
      </c>
      <c r="F76" s="78">
        <v>2</v>
      </c>
      <c r="G76" s="78" t="s">
        <v>396</v>
      </c>
      <c r="H76" s="79">
        <v>1650</v>
      </c>
      <c r="I76" s="79">
        <v>0</v>
      </c>
      <c r="J76" s="79">
        <v>0</v>
      </c>
      <c r="K76" s="77" t="s">
        <v>420</v>
      </c>
    </row>
    <row r="77" ht="32" customHeight="1" spans="2:11" x14ac:dyDescent="0.25">
      <c r="B77" s="77" t="s">
        <v>130</v>
      </c>
      <c r="C77" s="77" t="s">
        <v>18</v>
      </c>
      <c r="D77" s="77" t="s">
        <v>421</v>
      </c>
      <c r="E77" s="77" t="s">
        <v>303</v>
      </c>
      <c r="F77" s="78">
        <v>1</v>
      </c>
      <c r="G77" s="78" t="s">
        <v>398</v>
      </c>
      <c r="H77" s="79">
        <v>825</v>
      </c>
      <c r="I77" s="79">
        <v>6.45</v>
      </c>
      <c r="J77" s="79">
        <v>0</v>
      </c>
      <c r="K77" s="77" t="s">
        <v>413</v>
      </c>
    </row>
    <row r="78" ht="32" customHeight="1" spans="2:11" x14ac:dyDescent="0.25">
      <c r="B78" s="77" t="s">
        <v>130</v>
      </c>
      <c r="C78" s="77" t="s">
        <v>18</v>
      </c>
      <c r="D78" s="77" t="s">
        <v>422</v>
      </c>
      <c r="E78" s="77" t="s">
        <v>67</v>
      </c>
      <c r="F78" s="78">
        <v>2</v>
      </c>
      <c r="G78" s="78" t="s">
        <v>396</v>
      </c>
      <c r="H78" s="79">
        <v>1650</v>
      </c>
      <c r="I78" s="79">
        <v>9.2</v>
      </c>
      <c r="J78" s="79">
        <v>0</v>
      </c>
      <c r="K78" s="77" t="s">
        <v>417</v>
      </c>
    </row>
    <row r="79" ht="32" customHeight="1" spans="2:11" x14ac:dyDescent="0.25">
      <c r="B79" s="77" t="s">
        <v>63</v>
      </c>
      <c r="C79" s="77" t="s">
        <v>17</v>
      </c>
      <c r="D79" s="77" t="s">
        <v>423</v>
      </c>
      <c r="E79" s="77" t="s">
        <v>101</v>
      </c>
      <c r="F79" s="78">
        <v>6</v>
      </c>
      <c r="G79" s="78" t="s">
        <v>396</v>
      </c>
      <c r="H79" s="79">
        <v>4950</v>
      </c>
      <c r="I79" s="79">
        <v>23.49</v>
      </c>
      <c r="J79" s="79">
        <v>0</v>
      </c>
      <c r="K79" s="77" t="s">
        <v>413</v>
      </c>
    </row>
    <row r="80" ht="32" customHeight="1" spans="2:11" x14ac:dyDescent="0.25">
      <c r="B80" s="77" t="s">
        <v>63</v>
      </c>
      <c r="C80" s="77" t="s">
        <v>17</v>
      </c>
      <c r="D80" s="77" t="s">
        <v>424</v>
      </c>
      <c r="E80" s="77" t="s">
        <v>64</v>
      </c>
      <c r="F80" s="78">
        <v>6</v>
      </c>
      <c r="G80" s="78" t="s">
        <v>396</v>
      </c>
      <c r="H80" s="79">
        <v>4950</v>
      </c>
      <c r="I80" s="79">
        <v>23.49</v>
      </c>
      <c r="J80" s="79">
        <v>0</v>
      </c>
      <c r="K80" s="77" t="s">
        <v>413</v>
      </c>
    </row>
    <row r="81" ht="32" customHeight="1" spans="2:11" x14ac:dyDescent="0.25">
      <c r="B81" s="77" t="s">
        <v>132</v>
      </c>
      <c r="C81" s="77" t="s">
        <v>17</v>
      </c>
      <c r="D81" s="77" t="s">
        <v>425</v>
      </c>
      <c r="E81" s="77" t="s">
        <v>133</v>
      </c>
      <c r="F81" s="78">
        <v>3</v>
      </c>
      <c r="G81" s="78" t="s">
        <v>396</v>
      </c>
      <c r="H81" s="79">
        <v>2475</v>
      </c>
      <c r="I81" s="79">
        <v>9.69</v>
      </c>
      <c r="J81" s="79">
        <v>0</v>
      </c>
      <c r="K81" s="77" t="s">
        <v>413</v>
      </c>
    </row>
    <row r="82" ht="32" customHeight="1" spans="2:11" x14ac:dyDescent="0.25">
      <c r="B82" s="77" t="s">
        <v>160</v>
      </c>
      <c r="C82" s="77" t="s">
        <v>18</v>
      </c>
      <c r="D82" s="77" t="s">
        <v>426</v>
      </c>
      <c r="E82" s="77" t="s">
        <v>292</v>
      </c>
      <c r="F82" s="78">
        <v>1</v>
      </c>
      <c r="G82" s="78" t="s">
        <v>398</v>
      </c>
      <c r="H82" s="79">
        <v>825</v>
      </c>
      <c r="I82" s="79">
        <v>74.24</v>
      </c>
      <c r="J82" s="79">
        <v>-69.64</v>
      </c>
      <c r="K82" s="77" t="s">
        <v>413</v>
      </c>
    </row>
    <row r="83" ht="32" customHeight="1" spans="2:11" x14ac:dyDescent="0.25">
      <c r="B83" s="77" t="s">
        <v>160</v>
      </c>
      <c r="C83" s="77" t="s">
        <v>18</v>
      </c>
      <c r="D83" s="77" t="s">
        <v>427</v>
      </c>
      <c r="E83" s="77" t="s">
        <v>73</v>
      </c>
      <c r="F83" s="78">
        <v>1</v>
      </c>
      <c r="G83" s="78" t="s">
        <v>396</v>
      </c>
      <c r="H83" s="79">
        <v>825</v>
      </c>
      <c r="I83" s="79">
        <v>67.86</v>
      </c>
      <c r="J83" s="79">
        <v>-64.63</v>
      </c>
      <c r="K83" s="77" t="s">
        <v>413</v>
      </c>
    </row>
    <row r="84" ht="32" customHeight="1" spans="2:11" x14ac:dyDescent="0.25">
      <c r="B84" s="77" t="s">
        <v>202</v>
      </c>
      <c r="C84" s="77" t="s">
        <v>18</v>
      </c>
      <c r="D84" s="77" t="s">
        <v>428</v>
      </c>
      <c r="E84" s="77" t="s">
        <v>73</v>
      </c>
      <c r="F84" s="78">
        <v>1</v>
      </c>
      <c r="G84" s="78" t="s">
        <v>396</v>
      </c>
      <c r="H84" s="79">
        <v>825</v>
      </c>
      <c r="I84" s="79">
        <v>71.47</v>
      </c>
      <c r="J84" s="79">
        <v>-68.24</v>
      </c>
      <c r="K84" s="77" t="s">
        <v>413</v>
      </c>
    </row>
    <row r="85" ht="32" customHeight="1" spans="2:11" x14ac:dyDescent="0.25">
      <c r="B85" s="77" t="s">
        <v>97</v>
      </c>
      <c r="C85" s="77" t="s">
        <v>18</v>
      </c>
      <c r="D85" s="77" t="s">
        <v>429</v>
      </c>
      <c r="E85" s="77" t="s">
        <v>295</v>
      </c>
      <c r="F85" s="78">
        <v>2</v>
      </c>
      <c r="G85" s="78" t="s">
        <v>396</v>
      </c>
      <c r="H85" s="79">
        <v>1650</v>
      </c>
      <c r="I85" s="79">
        <v>15.28</v>
      </c>
      <c r="J85" s="79">
        <v>0</v>
      </c>
      <c r="K85" s="77" t="s">
        <v>413</v>
      </c>
    </row>
    <row r="86" ht="32" customHeight="1" spans="2:11" x14ac:dyDescent="0.25">
      <c r="B86" s="77" t="s">
        <v>97</v>
      </c>
      <c r="C86" s="77" t="s">
        <v>18</v>
      </c>
      <c r="D86" s="77" t="s">
        <v>430</v>
      </c>
      <c r="E86" s="77" t="s">
        <v>98</v>
      </c>
      <c r="F86" s="78">
        <v>2</v>
      </c>
      <c r="G86" s="78" t="s">
        <v>398</v>
      </c>
      <c r="H86" s="79">
        <v>1650</v>
      </c>
      <c r="I86" s="79">
        <v>6.46</v>
      </c>
      <c r="J86" s="79">
        <v>0</v>
      </c>
      <c r="K86" s="77" t="s">
        <v>413</v>
      </c>
    </row>
    <row r="87" ht="32" customHeight="1" spans="2:11" x14ac:dyDescent="0.25">
      <c r="B87" s="77" t="s">
        <v>142</v>
      </c>
      <c r="C87" s="77" t="s">
        <v>18</v>
      </c>
      <c r="D87" s="77" t="s">
        <v>431</v>
      </c>
      <c r="E87" s="77" t="s">
        <v>101</v>
      </c>
      <c r="F87" s="78">
        <v>1</v>
      </c>
      <c r="G87" s="78" t="s">
        <v>396</v>
      </c>
      <c r="H87" s="79">
        <v>825</v>
      </c>
      <c r="I87" s="79">
        <v>79.24</v>
      </c>
      <c r="J87" s="79">
        <v>-74.64</v>
      </c>
      <c r="K87" s="77" t="s">
        <v>413</v>
      </c>
    </row>
    <row r="88" ht="32" customHeight="1" spans="2:11" x14ac:dyDescent="0.25">
      <c r="B88" s="77" t="s">
        <v>142</v>
      </c>
      <c r="C88" s="77" t="s">
        <v>18</v>
      </c>
      <c r="D88" s="77" t="s">
        <v>432</v>
      </c>
      <c r="E88" s="77" t="s">
        <v>115</v>
      </c>
      <c r="F88" s="78">
        <v>1</v>
      </c>
      <c r="G88" s="78" t="s">
        <v>398</v>
      </c>
      <c r="H88" s="79">
        <v>825</v>
      </c>
      <c r="I88" s="79">
        <v>4.6</v>
      </c>
      <c r="J88" s="79">
        <v>0</v>
      </c>
      <c r="K88" s="77" t="s">
        <v>413</v>
      </c>
    </row>
    <row r="89" ht="32" customHeight="1" spans="2:11" x14ac:dyDescent="0.25">
      <c r="B89" s="77" t="s">
        <v>203</v>
      </c>
      <c r="C89" s="77" t="s">
        <v>18</v>
      </c>
      <c r="D89" s="77" t="s">
        <v>433</v>
      </c>
      <c r="E89" s="77" t="s">
        <v>137</v>
      </c>
      <c r="F89" s="78">
        <v>1</v>
      </c>
      <c r="G89" s="78" t="s">
        <v>398</v>
      </c>
      <c r="H89" s="79">
        <v>825</v>
      </c>
      <c r="I89" s="79">
        <v>4.6</v>
      </c>
      <c r="J89" s="79">
        <v>0</v>
      </c>
      <c r="K89" s="77" t="s">
        <v>413</v>
      </c>
    </row>
    <row r="90" ht="32" customHeight="1" spans="2:11" x14ac:dyDescent="0.25">
      <c r="B90" s="77" t="s">
        <v>108</v>
      </c>
      <c r="C90" s="77" t="s">
        <v>17</v>
      </c>
      <c r="D90" s="77" t="s">
        <v>434</v>
      </c>
      <c r="E90" s="77" t="s">
        <v>186</v>
      </c>
      <c r="F90" s="78">
        <v>6</v>
      </c>
      <c r="G90" s="78" t="s">
        <v>396</v>
      </c>
      <c r="H90" s="79">
        <v>4950</v>
      </c>
      <c r="I90" s="79">
        <v>91.23</v>
      </c>
      <c r="J90" s="79">
        <v>-45.39</v>
      </c>
      <c r="K90" s="77" t="s">
        <v>413</v>
      </c>
    </row>
    <row r="91" ht="32" customHeight="1" spans="2:11" x14ac:dyDescent="0.25">
      <c r="B91" s="77" t="s">
        <v>108</v>
      </c>
      <c r="C91" s="77" t="s">
        <v>17</v>
      </c>
      <c r="D91" s="77" t="s">
        <v>435</v>
      </c>
      <c r="E91" s="77" t="s">
        <v>109</v>
      </c>
      <c r="F91" s="78">
        <v>1</v>
      </c>
      <c r="G91" s="78" t="s">
        <v>396</v>
      </c>
      <c r="H91" s="79">
        <v>825</v>
      </c>
      <c r="I91" s="79">
        <v>4.6</v>
      </c>
      <c r="J91" s="79">
        <v>0</v>
      </c>
      <c r="K91" s="77" t="s">
        <v>413</v>
      </c>
    </row>
    <row r="92" ht="32" customHeight="1" spans="2:11" x14ac:dyDescent="0.25">
      <c r="B92" s="77" t="s">
        <v>204</v>
      </c>
      <c r="C92" s="77" t="s">
        <v>17</v>
      </c>
      <c r="D92" s="77" t="s">
        <v>436</v>
      </c>
      <c r="E92" s="77" t="s">
        <v>205</v>
      </c>
      <c r="F92" s="78">
        <v>1</v>
      </c>
      <c r="G92" s="78" t="s">
        <v>398</v>
      </c>
      <c r="H92" s="79">
        <v>825</v>
      </c>
      <c r="I92" s="79">
        <v>46.8</v>
      </c>
      <c r="J92" s="79">
        <v>-43.57</v>
      </c>
      <c r="K92" s="77" t="s">
        <v>417</v>
      </c>
    </row>
    <row r="93" ht="32" customHeight="1" spans="2:11" x14ac:dyDescent="0.25">
      <c r="B93" s="77" t="s">
        <v>206</v>
      </c>
      <c r="C93" s="77" t="s">
        <v>18</v>
      </c>
      <c r="D93" s="77" t="s">
        <v>437</v>
      </c>
      <c r="E93" s="77" t="s">
        <v>65</v>
      </c>
      <c r="F93" s="78">
        <v>1</v>
      </c>
      <c r="G93" s="78" t="s">
        <v>396</v>
      </c>
      <c r="H93" s="79">
        <v>825</v>
      </c>
      <c r="I93" s="79">
        <v>63.36</v>
      </c>
      <c r="J93" s="79">
        <v>-58.76</v>
      </c>
      <c r="K93" s="77" t="s">
        <v>413</v>
      </c>
    </row>
    <row r="94" ht="32" customHeight="1" spans="2:11" x14ac:dyDescent="0.25">
      <c r="B94" s="77" t="s">
        <v>117</v>
      </c>
      <c r="C94" s="77" t="s">
        <v>17</v>
      </c>
      <c r="D94" s="77" t="s">
        <v>438</v>
      </c>
      <c r="E94" s="77" t="s">
        <v>71</v>
      </c>
      <c r="F94" s="78">
        <v>3</v>
      </c>
      <c r="G94" s="78" t="s">
        <v>396</v>
      </c>
      <c r="H94" s="79">
        <v>2475</v>
      </c>
      <c r="I94" s="79">
        <v>9.69</v>
      </c>
      <c r="J94" s="79">
        <v>0</v>
      </c>
      <c r="K94" s="77" t="s">
        <v>413</v>
      </c>
    </row>
    <row r="95" ht="32" customHeight="1" spans="2:11" x14ac:dyDescent="0.25">
      <c r="B95" s="77" t="s">
        <v>207</v>
      </c>
      <c r="C95" s="77" t="s">
        <v>17</v>
      </c>
      <c r="D95" s="77" t="s">
        <v>439</v>
      </c>
      <c r="E95" s="77" t="s">
        <v>80</v>
      </c>
      <c r="F95" s="78">
        <v>1</v>
      </c>
      <c r="G95" s="78" t="s">
        <v>396</v>
      </c>
      <c r="H95" s="79">
        <v>825</v>
      </c>
      <c r="I95" s="79">
        <v>67.51</v>
      </c>
      <c r="J95" s="79">
        <v>-64.28</v>
      </c>
      <c r="K95" s="77" t="s">
        <v>413</v>
      </c>
    </row>
    <row r="96" ht="32" customHeight="1" spans="2:11" x14ac:dyDescent="0.25">
      <c r="B96" s="77" t="s">
        <v>169</v>
      </c>
      <c r="C96" s="77" t="s">
        <v>18</v>
      </c>
      <c r="D96" s="77" t="s">
        <v>440</v>
      </c>
      <c r="E96" s="77" t="s">
        <v>170</v>
      </c>
      <c r="F96" s="78">
        <v>1</v>
      </c>
      <c r="G96" s="78" t="s">
        <v>398</v>
      </c>
      <c r="H96" s="79">
        <v>825</v>
      </c>
      <c r="I96" s="79">
        <v>78.62</v>
      </c>
      <c r="J96" s="79">
        <v>-74.02</v>
      </c>
      <c r="K96" s="77" t="s">
        <v>413</v>
      </c>
    </row>
    <row r="97" ht="32" customHeight="1" spans="2:11" x14ac:dyDescent="0.25">
      <c r="B97" s="77" t="s">
        <v>161</v>
      </c>
      <c r="C97" s="77" t="s">
        <v>18</v>
      </c>
      <c r="D97" s="77" t="s">
        <v>441</v>
      </c>
      <c r="E97" s="77" t="s">
        <v>121</v>
      </c>
      <c r="F97" s="78">
        <v>1</v>
      </c>
      <c r="G97" s="78" t="s">
        <v>398</v>
      </c>
      <c r="H97" s="79">
        <v>825</v>
      </c>
      <c r="I97" s="79">
        <v>6.45</v>
      </c>
      <c r="J97" s="79">
        <v>0</v>
      </c>
      <c r="K97" s="77" t="s">
        <v>413</v>
      </c>
    </row>
    <row r="98" ht="32" customHeight="1" spans="2:11" x14ac:dyDescent="0.25">
      <c r="B98" s="77" t="s">
        <v>161</v>
      </c>
      <c r="C98" s="77" t="s">
        <v>18</v>
      </c>
      <c r="D98" s="77" t="s">
        <v>442</v>
      </c>
      <c r="E98" s="77" t="s">
        <v>61</v>
      </c>
      <c r="F98" s="78">
        <v>1</v>
      </c>
      <c r="G98" s="78" t="s">
        <v>398</v>
      </c>
      <c r="H98" s="79">
        <v>825</v>
      </c>
      <c r="I98" s="79">
        <v>3.23</v>
      </c>
      <c r="J98" s="79">
        <v>0</v>
      </c>
      <c r="K98" s="77" t="s">
        <v>413</v>
      </c>
    </row>
    <row r="99" ht="32" customHeight="1" spans="2:11" x14ac:dyDescent="0.25">
      <c r="B99" s="77" t="s">
        <v>81</v>
      </c>
      <c r="C99" s="77" t="s">
        <v>18</v>
      </c>
      <c r="D99" s="77" t="s">
        <v>443</v>
      </c>
      <c r="E99" s="77" t="s">
        <v>61</v>
      </c>
      <c r="F99" s="78">
        <v>2</v>
      </c>
      <c r="G99" s="78" t="s">
        <v>396</v>
      </c>
      <c r="H99" s="79">
        <v>1650</v>
      </c>
      <c r="I99" s="79">
        <v>82.83</v>
      </c>
      <c r="J99" s="79">
        <v>-75</v>
      </c>
      <c r="K99" s="77" t="s">
        <v>413</v>
      </c>
    </row>
    <row r="100" ht="32" customHeight="1" spans="2:11" x14ac:dyDescent="0.25">
      <c r="B100" s="77" t="s">
        <v>60</v>
      </c>
      <c r="C100" s="77" t="s">
        <v>17</v>
      </c>
      <c r="D100" s="77" t="s">
        <v>444</v>
      </c>
      <c r="E100" s="77" t="s">
        <v>61</v>
      </c>
      <c r="F100" s="78">
        <v>4</v>
      </c>
      <c r="G100" s="78" t="s">
        <v>398</v>
      </c>
      <c r="H100" s="79">
        <v>3300</v>
      </c>
      <c r="I100" s="79">
        <v>15.66</v>
      </c>
      <c r="J100" s="79">
        <v>0</v>
      </c>
      <c r="K100" s="77" t="s">
        <v>413</v>
      </c>
    </row>
    <row r="101" ht="32" customHeight="1" spans="2:11" x14ac:dyDescent="0.25">
      <c r="B101" s="77" t="s">
        <v>118</v>
      </c>
      <c r="C101" s="77" t="s">
        <v>18</v>
      </c>
      <c r="D101" s="77" t="s">
        <v>445</v>
      </c>
      <c r="E101" s="77" t="s">
        <v>446</v>
      </c>
      <c r="F101" s="78">
        <v>6</v>
      </c>
      <c r="G101" s="78" t="s">
        <v>396</v>
      </c>
      <c r="H101" s="79">
        <v>4950</v>
      </c>
      <c r="I101" s="79">
        <v>129.15</v>
      </c>
      <c r="J101" s="79">
        <v>-83.31</v>
      </c>
      <c r="K101" s="77" t="s">
        <v>413</v>
      </c>
    </row>
    <row r="102" ht="32" customHeight="1" spans="2:11" x14ac:dyDescent="0.25">
      <c r="B102" s="77" t="s">
        <v>118</v>
      </c>
      <c r="C102" s="77" t="s">
        <v>18</v>
      </c>
      <c r="D102" s="77" t="s">
        <v>447</v>
      </c>
      <c r="E102" s="77" t="s">
        <v>90</v>
      </c>
      <c r="F102" s="78">
        <v>2</v>
      </c>
      <c r="G102" s="78" t="s">
        <v>396</v>
      </c>
      <c r="H102" s="79">
        <v>1650</v>
      </c>
      <c r="I102" s="79">
        <v>7.83</v>
      </c>
      <c r="J102" s="79">
        <v>0</v>
      </c>
      <c r="K102" s="77" t="s">
        <v>413</v>
      </c>
    </row>
    <row r="103" ht="32" customHeight="1" spans="2:11" x14ac:dyDescent="0.25">
      <c r="B103" s="77" t="s">
        <v>86</v>
      </c>
      <c r="C103" s="77" t="s">
        <v>18</v>
      </c>
      <c r="D103" s="77" t="s">
        <v>448</v>
      </c>
      <c r="E103" s="77" t="s">
        <v>87</v>
      </c>
      <c r="F103" s="78">
        <v>3</v>
      </c>
      <c r="G103" s="78" t="s">
        <v>396</v>
      </c>
      <c r="H103" s="79">
        <v>2475</v>
      </c>
      <c r="I103" s="79">
        <v>9.69</v>
      </c>
      <c r="J103" s="79">
        <v>0</v>
      </c>
      <c r="K103" s="77" t="s">
        <v>413</v>
      </c>
    </row>
    <row r="104" ht="32" customHeight="1" spans="2:11" x14ac:dyDescent="0.25">
      <c r="B104" s="77" t="s">
        <v>88</v>
      </c>
      <c r="C104" s="77" t="s">
        <v>17</v>
      </c>
      <c r="D104" s="77" t="s">
        <v>449</v>
      </c>
      <c r="E104" s="77" t="s">
        <v>152</v>
      </c>
      <c r="F104" s="78">
        <v>2</v>
      </c>
      <c r="G104" s="78" t="s">
        <v>396</v>
      </c>
      <c r="H104" s="79">
        <v>1650</v>
      </c>
      <c r="I104" s="79">
        <v>12.9</v>
      </c>
      <c r="J104" s="79">
        <v>0</v>
      </c>
      <c r="K104" s="77" t="s">
        <v>413</v>
      </c>
    </row>
    <row r="105" ht="32" customHeight="1" spans="2:11" x14ac:dyDescent="0.25">
      <c r="B105" s="77" t="s">
        <v>88</v>
      </c>
      <c r="C105" s="77" t="s">
        <v>17</v>
      </c>
      <c r="D105" s="77" t="s">
        <v>450</v>
      </c>
      <c r="E105" s="77" t="s">
        <v>89</v>
      </c>
      <c r="F105" s="78">
        <v>2</v>
      </c>
      <c r="G105" s="78" t="s">
        <v>398</v>
      </c>
      <c r="H105" s="79">
        <v>1650</v>
      </c>
      <c r="I105" s="79">
        <v>7.83</v>
      </c>
      <c r="J105" s="79">
        <v>0</v>
      </c>
      <c r="K105" s="77" t="s">
        <v>417</v>
      </c>
    </row>
    <row r="106" ht="32" customHeight="1" spans="2:11" x14ac:dyDescent="0.25">
      <c r="B106" s="77" t="s">
        <v>208</v>
      </c>
      <c r="C106" s="77" t="s">
        <v>18</v>
      </c>
      <c r="D106" s="77" t="s">
        <v>451</v>
      </c>
      <c r="E106" s="77" t="s">
        <v>89</v>
      </c>
      <c r="F106" s="78">
        <v>1</v>
      </c>
      <c r="G106" s="78" t="s">
        <v>396</v>
      </c>
      <c r="H106" s="79">
        <v>825</v>
      </c>
      <c r="I106" s="79">
        <v>3.23</v>
      </c>
      <c r="J106" s="79">
        <v>0</v>
      </c>
      <c r="K106" s="77" t="s">
        <v>413</v>
      </c>
    </row>
    <row r="107" ht="32" customHeight="1" spans="2:11" x14ac:dyDescent="0.25">
      <c r="B107" s="77" t="s">
        <v>78</v>
      </c>
      <c r="C107" s="77" t="s">
        <v>17</v>
      </c>
      <c r="D107" s="77" t="s">
        <v>452</v>
      </c>
      <c r="E107" s="77" t="s">
        <v>79</v>
      </c>
      <c r="F107" s="78">
        <v>2</v>
      </c>
      <c r="G107" s="78" t="s">
        <v>396</v>
      </c>
      <c r="H107" s="79">
        <v>1650</v>
      </c>
      <c r="I107" s="79">
        <v>7.83</v>
      </c>
      <c r="J107" s="79">
        <v>0</v>
      </c>
      <c r="K107" s="77" t="s">
        <v>413</v>
      </c>
    </row>
    <row r="108" ht="32" customHeight="1" spans="2:11" x14ac:dyDescent="0.25">
      <c r="B108" s="77" t="s">
        <v>100</v>
      </c>
      <c r="C108" s="77" t="s">
        <v>17</v>
      </c>
      <c r="D108" s="77" t="s">
        <v>453</v>
      </c>
      <c r="E108" s="77" t="s">
        <v>101</v>
      </c>
      <c r="F108" s="78">
        <v>2</v>
      </c>
      <c r="G108" s="78" t="s">
        <v>396</v>
      </c>
      <c r="H108" s="79">
        <v>1650</v>
      </c>
      <c r="I108" s="79">
        <v>7.83</v>
      </c>
      <c r="J108" s="79">
        <v>0</v>
      </c>
      <c r="K108" s="77" t="s">
        <v>413</v>
      </c>
    </row>
    <row r="109" ht="32" customHeight="1" spans="2:11" x14ac:dyDescent="0.25">
      <c r="B109" s="77" t="s">
        <v>209</v>
      </c>
      <c r="C109" s="77" t="s">
        <v>17</v>
      </c>
      <c r="D109" s="77" t="s">
        <v>454</v>
      </c>
      <c r="E109" s="77" t="s">
        <v>116</v>
      </c>
      <c r="F109" s="78">
        <v>1</v>
      </c>
      <c r="G109" s="78" t="s">
        <v>398</v>
      </c>
      <c r="H109" s="79">
        <v>825</v>
      </c>
      <c r="I109" s="79">
        <v>86.87</v>
      </c>
      <c r="J109" s="79">
        <v>-82.27</v>
      </c>
      <c r="K109" s="77" t="s">
        <v>413</v>
      </c>
    </row>
    <row r="110" ht="32" customHeight="1" spans="2:11" x14ac:dyDescent="0.25">
      <c r="B110" s="77" t="s">
        <v>209</v>
      </c>
      <c r="C110" s="77" t="s">
        <v>17</v>
      </c>
      <c r="D110" s="77" t="s">
        <v>455</v>
      </c>
      <c r="E110" s="77" t="s">
        <v>99</v>
      </c>
      <c r="F110" s="78">
        <v>1</v>
      </c>
      <c r="G110" s="78" t="s">
        <v>398</v>
      </c>
      <c r="H110" s="79">
        <v>825</v>
      </c>
      <c r="I110" s="79">
        <v>86.87</v>
      </c>
      <c r="J110" s="79">
        <v>-82.27</v>
      </c>
      <c r="K110" s="77" t="s">
        <v>413</v>
      </c>
    </row>
    <row r="111" ht="32" customHeight="1" spans="2:11" x14ac:dyDescent="0.25">
      <c r="B111" s="77" t="s">
        <v>122</v>
      </c>
      <c r="C111" s="77" t="s">
        <v>17</v>
      </c>
      <c r="D111" s="77" t="s">
        <v>456</v>
      </c>
      <c r="E111" s="77" t="s">
        <v>99</v>
      </c>
      <c r="F111" s="78">
        <v>2</v>
      </c>
      <c r="G111" s="78" t="s">
        <v>396</v>
      </c>
      <c r="H111" s="79">
        <v>1650</v>
      </c>
      <c r="I111" s="79">
        <v>82.83</v>
      </c>
      <c r="J111" s="79">
        <v>-75</v>
      </c>
      <c r="K111" s="77" t="s">
        <v>413</v>
      </c>
    </row>
    <row r="112" ht="32" customHeight="1" spans="2:11" x14ac:dyDescent="0.25">
      <c r="B112" s="77" t="s">
        <v>134</v>
      </c>
      <c r="C112" s="77" t="s">
        <v>18</v>
      </c>
      <c r="D112" s="77" t="s">
        <v>457</v>
      </c>
      <c r="E112" s="77" t="s">
        <v>135</v>
      </c>
      <c r="F112" s="78">
        <v>2</v>
      </c>
      <c r="G112" s="78" t="s">
        <v>398</v>
      </c>
      <c r="H112" s="79">
        <v>1650</v>
      </c>
      <c r="I112" s="79">
        <v>7.83</v>
      </c>
      <c r="J112" s="79">
        <v>0</v>
      </c>
      <c r="K112" s="77" t="s">
        <v>413</v>
      </c>
    </row>
    <row r="113" ht="32" customHeight="1" spans="2:11" x14ac:dyDescent="0.25">
      <c r="B113" s="77" t="s">
        <v>210</v>
      </c>
      <c r="C113" s="77" t="s">
        <v>18</v>
      </c>
      <c r="D113" s="77" t="s">
        <v>458</v>
      </c>
      <c r="E113" s="77" t="s">
        <v>135</v>
      </c>
      <c r="F113" s="78">
        <v>2</v>
      </c>
      <c r="G113" s="78" t="s">
        <v>398</v>
      </c>
      <c r="H113" s="79">
        <v>1650</v>
      </c>
      <c r="I113" s="79">
        <v>86.47</v>
      </c>
      <c r="J113" s="79">
        <v>-77.27</v>
      </c>
      <c r="K113" s="77" t="s">
        <v>413</v>
      </c>
    </row>
    <row r="114" ht="32" customHeight="1" spans="2:11" x14ac:dyDescent="0.25">
      <c r="B114" s="77" t="s">
        <v>138</v>
      </c>
      <c r="C114" s="77" t="s">
        <v>17</v>
      </c>
      <c r="D114" s="77" t="s">
        <v>459</v>
      </c>
      <c r="E114" s="77" t="s">
        <v>106</v>
      </c>
      <c r="F114" s="78">
        <v>2</v>
      </c>
      <c r="G114" s="78" t="s">
        <v>396</v>
      </c>
      <c r="H114" s="79">
        <v>1650</v>
      </c>
      <c r="I114" s="79">
        <v>82.83</v>
      </c>
      <c r="J114" s="79">
        <v>-75</v>
      </c>
      <c r="K114" s="77" t="s">
        <v>413</v>
      </c>
    </row>
    <row r="115" ht="32" customHeight="1" spans="2:11" x14ac:dyDescent="0.25">
      <c r="B115" s="77" t="s">
        <v>136</v>
      </c>
      <c r="C115" s="77" t="s">
        <v>17</v>
      </c>
      <c r="D115" s="77" t="s">
        <v>460</v>
      </c>
      <c r="E115" s="77" t="s">
        <v>106</v>
      </c>
      <c r="F115" s="78">
        <v>2</v>
      </c>
      <c r="G115" s="78" t="s">
        <v>396</v>
      </c>
      <c r="H115" s="79">
        <v>1650</v>
      </c>
      <c r="I115" s="79">
        <v>82.83</v>
      </c>
      <c r="J115" s="79">
        <v>-75</v>
      </c>
      <c r="K115" s="77" t="s">
        <v>413</v>
      </c>
    </row>
    <row r="116" ht="32" customHeight="1" spans="2:11" x14ac:dyDescent="0.25">
      <c r="B116" s="77" t="s">
        <v>211</v>
      </c>
      <c r="C116" s="77" t="s">
        <v>18</v>
      </c>
      <c r="D116" s="77" t="s">
        <v>461</v>
      </c>
      <c r="E116" s="77" t="s">
        <v>212</v>
      </c>
      <c r="F116" s="78">
        <v>1</v>
      </c>
      <c r="G116" s="78" t="s">
        <v>398</v>
      </c>
      <c r="H116" s="79">
        <v>825</v>
      </c>
      <c r="I116" s="79">
        <v>74.24</v>
      </c>
      <c r="J116" s="79">
        <v>-69.64</v>
      </c>
      <c r="K116" s="77" t="s">
        <v>413</v>
      </c>
    </row>
    <row r="117" ht="32" customHeight="1" spans="2:11" x14ac:dyDescent="0.25">
      <c r="B117" s="77" t="s">
        <v>128</v>
      </c>
      <c r="C117" s="77" t="s">
        <v>18</v>
      </c>
      <c r="D117" s="77" t="s">
        <v>462</v>
      </c>
      <c r="E117" s="77" t="s">
        <v>129</v>
      </c>
      <c r="F117" s="78">
        <v>2</v>
      </c>
      <c r="G117" s="78" t="s">
        <v>398</v>
      </c>
      <c r="H117" s="79">
        <v>1650</v>
      </c>
      <c r="I117" s="79">
        <v>86.47</v>
      </c>
      <c r="J117" s="79">
        <v>-77.27</v>
      </c>
      <c r="K117" s="77" t="s">
        <v>413</v>
      </c>
    </row>
    <row r="118" ht="32" customHeight="1" spans="2:11" x14ac:dyDescent="0.25">
      <c r="B118" s="77" t="s">
        <v>139</v>
      </c>
      <c r="C118" s="77" t="s">
        <v>18</v>
      </c>
      <c r="D118" s="77" t="s">
        <v>463</v>
      </c>
      <c r="E118" s="77" t="s">
        <v>140</v>
      </c>
      <c r="F118" s="78">
        <v>2</v>
      </c>
      <c r="G118" s="78" t="s">
        <v>396</v>
      </c>
      <c r="H118" s="79">
        <v>1650</v>
      </c>
      <c r="I118" s="79">
        <v>100.26</v>
      </c>
      <c r="J118" s="79">
        <v>-87.36</v>
      </c>
      <c r="K118" s="77" t="s">
        <v>413</v>
      </c>
    </row>
    <row r="119" ht="32" customHeight="1" spans="2:11" x14ac:dyDescent="0.25">
      <c r="B119" s="77" t="s">
        <v>213</v>
      </c>
      <c r="C119" s="77" t="s">
        <v>17</v>
      </c>
      <c r="D119" s="77" t="s">
        <v>464</v>
      </c>
      <c r="E119" s="77" t="s">
        <v>214</v>
      </c>
      <c r="F119" s="78">
        <v>2</v>
      </c>
      <c r="G119" s="78" t="s">
        <v>396</v>
      </c>
      <c r="H119" s="79">
        <v>1650</v>
      </c>
      <c r="I119" s="79">
        <v>103.21</v>
      </c>
      <c r="J119" s="79">
        <v>-90.31</v>
      </c>
      <c r="K119" s="77" t="s">
        <v>413</v>
      </c>
    </row>
    <row r="120" ht="32" customHeight="1" spans="2:11" x14ac:dyDescent="0.25">
      <c r="B120" s="77" t="s">
        <v>111</v>
      </c>
      <c r="C120" s="77" t="s">
        <v>18</v>
      </c>
      <c r="D120" s="77" t="s">
        <v>465</v>
      </c>
      <c r="E120" s="77" t="s">
        <v>466</v>
      </c>
      <c r="F120" s="78">
        <v>1</v>
      </c>
      <c r="G120" s="78" t="s">
        <v>398</v>
      </c>
      <c r="H120" s="79">
        <v>825</v>
      </c>
      <c r="I120" s="79">
        <v>6.45</v>
      </c>
      <c r="J120" s="79">
        <v>0</v>
      </c>
      <c r="K120" s="77" t="s">
        <v>413</v>
      </c>
    </row>
    <row r="121" ht="32" customHeight="1" spans="2:11" x14ac:dyDescent="0.25">
      <c r="B121" s="77" t="s">
        <v>111</v>
      </c>
      <c r="C121" s="77" t="s">
        <v>18</v>
      </c>
      <c r="D121" s="77" t="s">
        <v>467</v>
      </c>
      <c r="E121" s="77" t="s">
        <v>113</v>
      </c>
      <c r="F121" s="78">
        <v>2</v>
      </c>
      <c r="G121" s="78" t="s">
        <v>396</v>
      </c>
      <c r="H121" s="79">
        <v>1650</v>
      </c>
      <c r="I121" s="79">
        <v>12.9</v>
      </c>
      <c r="J121" s="79">
        <v>0</v>
      </c>
      <c r="K121" s="77" t="s">
        <v>413</v>
      </c>
    </row>
    <row r="122" ht="32" customHeight="1" spans="2:11" x14ac:dyDescent="0.25">
      <c r="B122" s="77" t="s">
        <v>178</v>
      </c>
      <c r="C122" s="77" t="s">
        <v>18</v>
      </c>
      <c r="D122" s="77" t="s">
        <v>468</v>
      </c>
      <c r="E122" s="77" t="s">
        <v>247</v>
      </c>
      <c r="F122" s="78">
        <v>1</v>
      </c>
      <c r="G122" s="78" t="s">
        <v>398</v>
      </c>
      <c r="H122" s="79">
        <v>825</v>
      </c>
      <c r="I122" s="79">
        <v>6.45</v>
      </c>
      <c r="J122" s="79">
        <v>0</v>
      </c>
      <c r="K122" s="77" t="s">
        <v>413</v>
      </c>
    </row>
    <row r="123" ht="32" customHeight="1" spans="2:11" x14ac:dyDescent="0.25">
      <c r="B123" s="77" t="s">
        <v>178</v>
      </c>
      <c r="C123" s="77" t="s">
        <v>18</v>
      </c>
      <c r="D123" s="77" t="s">
        <v>469</v>
      </c>
      <c r="E123" s="77" t="s">
        <v>179</v>
      </c>
      <c r="F123" s="78">
        <v>2</v>
      </c>
      <c r="G123" s="78" t="s">
        <v>398</v>
      </c>
      <c r="H123" s="79">
        <v>1650</v>
      </c>
      <c r="I123" s="79">
        <v>82.54</v>
      </c>
      <c r="J123" s="79">
        <v>-69.64</v>
      </c>
      <c r="K123" s="77" t="s">
        <v>413</v>
      </c>
    </row>
    <row r="124" ht="32" customHeight="1" spans="2:11" x14ac:dyDescent="0.25">
      <c r="B124" s="77" t="s">
        <v>147</v>
      </c>
      <c r="C124" s="77" t="s">
        <v>18</v>
      </c>
      <c r="D124" s="77" t="s">
        <v>470</v>
      </c>
      <c r="E124" s="77" t="s">
        <v>96</v>
      </c>
      <c r="F124" s="78">
        <v>1</v>
      </c>
      <c r="G124" s="78" t="s">
        <v>398</v>
      </c>
      <c r="H124" s="79">
        <v>825</v>
      </c>
      <c r="I124" s="79">
        <v>89.24</v>
      </c>
      <c r="J124" s="79">
        <v>-82.79</v>
      </c>
      <c r="K124" s="77" t="s">
        <v>413</v>
      </c>
    </row>
    <row r="125" ht="32" customHeight="1" spans="2:11" x14ac:dyDescent="0.25">
      <c r="B125" s="77" t="s">
        <v>215</v>
      </c>
      <c r="C125" s="77" t="s">
        <v>18</v>
      </c>
      <c r="D125" s="77" t="s">
        <v>471</v>
      </c>
      <c r="E125" s="77" t="s">
        <v>216</v>
      </c>
      <c r="F125" s="78">
        <v>1</v>
      </c>
      <c r="G125" s="78" t="s">
        <v>398</v>
      </c>
      <c r="H125" s="79">
        <v>825</v>
      </c>
      <c r="I125" s="79">
        <v>96.84</v>
      </c>
      <c r="J125" s="79">
        <v>-90.39</v>
      </c>
      <c r="K125" s="77" t="s">
        <v>413</v>
      </c>
    </row>
    <row r="126" ht="32" customHeight="1" spans="2:11" x14ac:dyDescent="0.25">
      <c r="B126" s="77" t="s">
        <v>180</v>
      </c>
      <c r="C126" s="77" t="s">
        <v>18</v>
      </c>
      <c r="D126" s="77" t="s">
        <v>472</v>
      </c>
      <c r="E126" s="77" t="s">
        <v>181</v>
      </c>
      <c r="F126" s="78">
        <v>1</v>
      </c>
      <c r="G126" s="78" t="s">
        <v>396</v>
      </c>
      <c r="H126" s="79">
        <v>825</v>
      </c>
      <c r="I126" s="79">
        <v>80.38</v>
      </c>
      <c r="J126" s="79">
        <v>-73.93</v>
      </c>
      <c r="K126" s="77" t="s">
        <v>413</v>
      </c>
    </row>
    <row r="127" ht="32" customHeight="1" spans="2:11" x14ac:dyDescent="0.25">
      <c r="B127" s="77" t="s">
        <v>72</v>
      </c>
      <c r="C127" s="77" t="s">
        <v>17</v>
      </c>
      <c r="D127" s="77" t="s">
        <v>473</v>
      </c>
      <c r="E127" s="77" t="s">
        <v>82</v>
      </c>
      <c r="F127" s="78">
        <v>2</v>
      </c>
      <c r="G127" s="78" t="s">
        <v>396</v>
      </c>
      <c r="H127" s="79">
        <v>1650</v>
      </c>
      <c r="I127" s="79">
        <v>9.2</v>
      </c>
      <c r="J127" s="79">
        <v>0</v>
      </c>
      <c r="K127" s="77" t="s">
        <v>413</v>
      </c>
    </row>
    <row r="128" ht="32" customHeight="1" spans="2:11" x14ac:dyDescent="0.25">
      <c r="B128" s="77" t="s">
        <v>69</v>
      </c>
      <c r="C128" s="77" t="s">
        <v>17</v>
      </c>
      <c r="D128" s="77" t="s">
        <v>474</v>
      </c>
      <c r="E128" s="77" t="s">
        <v>165</v>
      </c>
      <c r="F128" s="78">
        <v>1</v>
      </c>
      <c r="G128" s="78" t="s">
        <v>398</v>
      </c>
      <c r="H128" s="79">
        <v>825</v>
      </c>
      <c r="I128" s="79">
        <v>5.75</v>
      </c>
      <c r="J128" s="79">
        <v>0</v>
      </c>
      <c r="K128" s="77" t="s">
        <v>413</v>
      </c>
    </row>
    <row r="129" ht="32" customHeight="1" spans="2:11" x14ac:dyDescent="0.25">
      <c r="B129" s="77" t="s">
        <v>69</v>
      </c>
      <c r="C129" s="77" t="s">
        <v>17</v>
      </c>
      <c r="D129" s="77" t="s">
        <v>475</v>
      </c>
      <c r="E129" s="77" t="s">
        <v>135</v>
      </c>
      <c r="F129" s="78">
        <v>1</v>
      </c>
      <c r="G129" s="78" t="s">
        <v>398</v>
      </c>
      <c r="H129" s="79">
        <v>825</v>
      </c>
      <c r="I129" s="79">
        <v>5.75</v>
      </c>
      <c r="J129" s="79">
        <v>0</v>
      </c>
      <c r="K129" s="77" t="s">
        <v>413</v>
      </c>
    </row>
    <row r="130" ht="32" customHeight="1" spans="2:11" x14ac:dyDescent="0.25">
      <c r="B130" s="77" t="s">
        <v>69</v>
      </c>
      <c r="C130" s="77" t="s">
        <v>17</v>
      </c>
      <c r="D130" s="77" t="s">
        <v>476</v>
      </c>
      <c r="E130" s="77" t="s">
        <v>109</v>
      </c>
      <c r="F130" s="78">
        <v>4</v>
      </c>
      <c r="G130" s="78" t="s">
        <v>398</v>
      </c>
      <c r="H130" s="79">
        <v>3300</v>
      </c>
      <c r="I130" s="79">
        <v>54.4</v>
      </c>
      <c r="J130" s="79">
        <v>-41.48</v>
      </c>
      <c r="K130" s="77" t="s">
        <v>413</v>
      </c>
    </row>
    <row r="131" ht="32" customHeight="1" spans="2:11" x14ac:dyDescent="0.25">
      <c r="B131" s="77" t="s">
        <v>69</v>
      </c>
      <c r="C131" s="77" t="s">
        <v>17</v>
      </c>
      <c r="D131" s="77" t="s">
        <v>477</v>
      </c>
      <c r="E131" s="77" t="s">
        <v>109</v>
      </c>
      <c r="F131" s="78">
        <v>1</v>
      </c>
      <c r="G131" s="78" t="s">
        <v>398</v>
      </c>
      <c r="H131" s="79">
        <v>825</v>
      </c>
      <c r="I131" s="79">
        <v>4.6</v>
      </c>
      <c r="J131" s="79">
        <v>0</v>
      </c>
      <c r="K131" s="77" t="s">
        <v>413</v>
      </c>
    </row>
    <row r="132" ht="32" customHeight="1" spans="2:11" x14ac:dyDescent="0.25">
      <c r="B132" s="77" t="s">
        <v>102</v>
      </c>
      <c r="C132" s="77" t="s">
        <v>17</v>
      </c>
      <c r="D132" s="77" t="s">
        <v>478</v>
      </c>
      <c r="E132" s="77" t="s">
        <v>479</v>
      </c>
      <c r="F132" s="78">
        <v>1</v>
      </c>
      <c r="G132" s="78" t="s">
        <v>396</v>
      </c>
      <c r="H132" s="79">
        <v>825</v>
      </c>
      <c r="I132" s="79">
        <v>126.08</v>
      </c>
      <c r="J132" s="79">
        <v>-119.63</v>
      </c>
      <c r="K132" s="77" t="s">
        <v>413</v>
      </c>
    </row>
    <row r="133" ht="32" customHeight="1" spans="2:11" x14ac:dyDescent="0.25">
      <c r="B133" s="77" t="s">
        <v>102</v>
      </c>
      <c r="C133" s="77" t="s">
        <v>17</v>
      </c>
      <c r="D133" s="77" t="s">
        <v>480</v>
      </c>
      <c r="E133" s="77" t="s">
        <v>90</v>
      </c>
      <c r="F133" s="78">
        <v>1</v>
      </c>
      <c r="G133" s="78" t="s">
        <v>396</v>
      </c>
      <c r="H133" s="79">
        <v>825</v>
      </c>
      <c r="I133" s="79">
        <v>82.15</v>
      </c>
      <c r="J133" s="79">
        <v>-77.55</v>
      </c>
      <c r="K133" s="77" t="s">
        <v>413</v>
      </c>
    </row>
    <row r="134" ht="32" customHeight="1" spans="2:11" x14ac:dyDescent="0.25">
      <c r="B134" s="77" t="s">
        <v>84</v>
      </c>
      <c r="C134" s="77" t="s">
        <v>18</v>
      </c>
      <c r="D134" s="77" t="s">
        <v>481</v>
      </c>
      <c r="E134" s="77" t="s">
        <v>89</v>
      </c>
      <c r="F134" s="78">
        <v>2</v>
      </c>
      <c r="G134" s="78" t="s">
        <v>398</v>
      </c>
      <c r="H134" s="79">
        <v>1650</v>
      </c>
      <c r="I134" s="79">
        <v>80.56</v>
      </c>
      <c r="J134" s="79">
        <v>-74.1</v>
      </c>
      <c r="K134" s="77" t="s">
        <v>413</v>
      </c>
    </row>
    <row r="135" ht="32" customHeight="1" spans="2:11" x14ac:dyDescent="0.25">
      <c r="B135" s="77" t="s">
        <v>114</v>
      </c>
      <c r="C135" s="77" t="s">
        <v>17</v>
      </c>
      <c r="D135" s="77" t="s">
        <v>482</v>
      </c>
      <c r="E135" s="77" t="s">
        <v>93</v>
      </c>
      <c r="F135" s="78">
        <v>2</v>
      </c>
      <c r="G135" s="78" t="s">
        <v>396</v>
      </c>
      <c r="H135" s="79">
        <v>1650</v>
      </c>
      <c r="I135" s="79">
        <v>84.2</v>
      </c>
      <c r="J135" s="79">
        <v>-75</v>
      </c>
      <c r="K135" s="77" t="s">
        <v>413</v>
      </c>
    </row>
    <row r="136" ht="32" customHeight="1" spans="2:11" x14ac:dyDescent="0.25">
      <c r="B136" s="77" t="s">
        <v>83</v>
      </c>
      <c r="C136" s="77" t="s">
        <v>18</v>
      </c>
      <c r="D136" s="77" t="s">
        <v>483</v>
      </c>
      <c r="E136" s="77" t="s">
        <v>301</v>
      </c>
      <c r="F136" s="78">
        <v>1</v>
      </c>
      <c r="G136" s="78" t="s">
        <v>398</v>
      </c>
      <c r="H136" s="79">
        <v>825</v>
      </c>
      <c r="I136" s="79">
        <v>83.83</v>
      </c>
      <c r="J136" s="79">
        <v>-75</v>
      </c>
      <c r="K136" s="77" t="s">
        <v>413</v>
      </c>
    </row>
    <row r="137" ht="32" customHeight="1" spans="2:11" x14ac:dyDescent="0.25">
      <c r="B137" s="77" t="s">
        <v>146</v>
      </c>
      <c r="C137" s="77" t="s">
        <v>18</v>
      </c>
      <c r="D137" s="77" t="s">
        <v>484</v>
      </c>
      <c r="E137" s="77" t="s">
        <v>301</v>
      </c>
      <c r="F137" s="78">
        <v>1</v>
      </c>
      <c r="G137" s="78" t="s">
        <v>398</v>
      </c>
      <c r="H137" s="79">
        <v>825</v>
      </c>
      <c r="I137" s="79">
        <v>6.45</v>
      </c>
      <c r="J137" s="79">
        <v>0</v>
      </c>
      <c r="K137" s="77" t="s">
        <v>413</v>
      </c>
    </row>
    <row r="138" ht="32" customHeight="1" spans="2:11" x14ac:dyDescent="0.25">
      <c r="B138" s="77" t="s">
        <v>156</v>
      </c>
      <c r="C138" s="77" t="s">
        <v>18</v>
      </c>
      <c r="D138" s="77" t="s">
        <v>485</v>
      </c>
      <c r="E138" s="77" t="s">
        <v>235</v>
      </c>
      <c r="F138" s="78">
        <v>3</v>
      </c>
      <c r="G138" s="78" t="s">
        <v>396</v>
      </c>
      <c r="H138" s="79">
        <v>0</v>
      </c>
      <c r="I138" s="79">
        <v>32.7</v>
      </c>
      <c r="J138" s="79">
        <v>0</v>
      </c>
      <c r="K138" s="77" t="s">
        <v>413</v>
      </c>
    </row>
    <row r="139" spans="2:9" x14ac:dyDescent="0.25">
      <c r="B139" t="s">
        <v>486</v>
      </c>
      <c r="F139" s="80">
        <f>SUM(F71:F138)</f>
        <v>131</v>
      </c>
      <c r="H139" s="81">
        <f>SUM(H71:H138)</f>
        <v>105600</v>
      </c>
      <c r="I139" s="81">
        <f>SUM(I71:I138)</f>
        <v>3047.9199999999987</v>
      </c>
    </row>
    <row r="141" ht="36" customHeight="1" spans="2:11" x14ac:dyDescent="0.25">
      <c r="B141" s="82" t="s">
        <v>487</v>
      </c>
      <c r="C141" s="82"/>
      <c r="D141" s="82"/>
      <c r="E141" s="82"/>
      <c r="F141" s="82"/>
      <c r="G141" s="82"/>
      <c r="H141" s="82"/>
      <c r="I141" s="82"/>
      <c r="J141" s="82"/>
      <c r="K141" s="82"/>
    </row>
  </sheetData>
  <mergeCells count="19">
    <mergeCell ref="B2:K2"/>
    <mergeCell ref="B3:K3"/>
    <mergeCell ref="B6:C6"/>
    <mergeCell ref="D6:E6"/>
    <mergeCell ref="F6:G6"/>
    <mergeCell ref="H6:I6"/>
    <mergeCell ref="B7:C8"/>
    <mergeCell ref="D7:E8"/>
    <mergeCell ref="F7:G8"/>
    <mergeCell ref="H7:I8"/>
    <mergeCell ref="B10:C10"/>
    <mergeCell ref="D10:E10"/>
    <mergeCell ref="F10:G10"/>
    <mergeCell ref="B11:C12"/>
    <mergeCell ref="D11:E12"/>
    <mergeCell ref="F11:G12"/>
    <mergeCell ref="B66:K66"/>
    <mergeCell ref="B69:K69"/>
    <mergeCell ref="B141:K141"/>
  </mergeCells>
  <pageSetup paperSize="8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FormatPr defaultRowHeight="15" outlineLevelRow="0" outlineLevelCol="0" x14ac:dyDescent="55"/>
  <cols>
    <col min="1" max="1" width="3" customWidth="1"/>
    <col min="2" max="2" width="22" customWidth="1"/>
    <col min="3" max="3" width="32" customWidth="1"/>
    <col min="4" max="4" width="8" customWidth="1"/>
    <col min="5" max="7" width="14" customWidth="1"/>
    <col min="8" max="8" width="12" customWidth="1"/>
    <col min="9" max="9" width="14" customWidth="1"/>
    <col min="10" max="10" width="24" customWidth="1"/>
  </cols>
  <sheetData>
    <row r="2" spans="2:10" x14ac:dyDescent="0.25">
      <c r="B2" s="29" t="s">
        <v>488</v>
      </c>
      <c r="C2" s="29"/>
      <c r="D2" s="29"/>
      <c r="E2" s="29"/>
      <c r="F2" s="29"/>
      <c r="G2" s="29"/>
      <c r="H2" s="29"/>
      <c r="I2" s="29"/>
      <c r="J2" s="29"/>
    </row>
    <row r="3" spans="2:10" x14ac:dyDescent="0.25">
      <c r="B3" s="8" t="s">
        <v>489</v>
      </c>
      <c r="C3" s="8"/>
      <c r="D3" s="8"/>
      <c r="E3" s="8"/>
      <c r="F3" s="8"/>
      <c r="G3" s="8"/>
      <c r="H3" s="8"/>
      <c r="I3" s="8"/>
      <c r="J3" s="8"/>
    </row>
    <row r="5" spans="2:10" x14ac:dyDescent="0.25">
      <c r="B5" s="9" t="s">
        <v>46</v>
      </c>
      <c r="C5" s="9" t="s">
        <v>219</v>
      </c>
      <c r="D5" s="9" t="s">
        <v>220</v>
      </c>
      <c r="E5" s="9" t="s">
        <v>9</v>
      </c>
      <c r="F5" s="9" t="s">
        <v>490</v>
      </c>
      <c r="G5" s="9" t="s">
        <v>51</v>
      </c>
      <c r="H5" s="9" t="s">
        <v>491</v>
      </c>
      <c r="I5" s="9" t="s">
        <v>57</v>
      </c>
      <c r="J5" s="9" t="s">
        <v>492</v>
      </c>
    </row>
    <row r="6" spans="2:10" x14ac:dyDescent="0.25">
      <c r="B6" s="10" t="s">
        <v>17</v>
      </c>
      <c r="C6" s="10" t="s">
        <v>63</v>
      </c>
      <c r="D6" s="49" t="s">
        <v>227</v>
      </c>
      <c r="E6" s="47">
        <v>9600</v>
      </c>
      <c r="F6" s="47">
        <v>31500</v>
      </c>
      <c r="G6" s="47">
        <v>21900</v>
      </c>
      <c r="H6" s="46">
        <v>2</v>
      </c>
      <c r="I6" s="49" t="s">
        <v>64</v>
      </c>
      <c r="J6" s="71" t="s">
        <v>493</v>
      </c>
    </row>
    <row r="7" spans="2:10" x14ac:dyDescent="0.25">
      <c r="B7" s="10" t="s">
        <v>17</v>
      </c>
      <c r="C7" s="10" t="s">
        <v>75</v>
      </c>
      <c r="D7" s="49" t="s">
        <v>227</v>
      </c>
      <c r="E7" s="47">
        <v>9600</v>
      </c>
      <c r="F7" s="47">
        <v>19200</v>
      </c>
      <c r="G7" s="47">
        <v>9600</v>
      </c>
      <c r="H7" s="46">
        <v>22</v>
      </c>
      <c r="I7" s="49" t="s">
        <v>67</v>
      </c>
      <c r="J7" s="71" t="s">
        <v>493</v>
      </c>
    </row>
    <row r="8" spans="2:10" x14ac:dyDescent="0.25">
      <c r="B8" s="10" t="s">
        <v>17</v>
      </c>
      <c r="C8" s="10" t="s">
        <v>69</v>
      </c>
      <c r="D8" s="49" t="s">
        <v>227</v>
      </c>
      <c r="E8" s="47">
        <v>6950</v>
      </c>
      <c r="F8" s="47">
        <v>25900</v>
      </c>
      <c r="G8" s="47">
        <v>19021.76</v>
      </c>
      <c r="H8" s="46">
        <v>3</v>
      </c>
      <c r="I8" s="49" t="s">
        <v>70</v>
      </c>
      <c r="J8" s="71" t="s">
        <v>493</v>
      </c>
    </row>
    <row r="9" spans="2:10" x14ac:dyDescent="0.25">
      <c r="B9" s="10" t="s">
        <v>17</v>
      </c>
      <c r="C9" s="10" t="s">
        <v>110</v>
      </c>
      <c r="D9" s="49" t="s">
        <v>242</v>
      </c>
      <c r="E9" s="47">
        <v>6600</v>
      </c>
      <c r="F9" s="47">
        <v>6600</v>
      </c>
      <c r="G9" s="47">
        <v>0</v>
      </c>
      <c r="H9" s="46">
        <v>7</v>
      </c>
      <c r="I9" s="49" t="s">
        <v>103</v>
      </c>
      <c r="J9" s="71" t="s">
        <v>493</v>
      </c>
    </row>
    <row r="10" spans="2:10" x14ac:dyDescent="0.25">
      <c r="B10" s="10" t="s">
        <v>17</v>
      </c>
      <c r="C10" s="10" t="s">
        <v>66</v>
      </c>
      <c r="D10" s="49" t="s">
        <v>227</v>
      </c>
      <c r="E10" s="47">
        <v>6000</v>
      </c>
      <c r="F10" s="47">
        <v>31050</v>
      </c>
      <c r="G10" s="47">
        <v>25050</v>
      </c>
      <c r="H10" s="46">
        <v>52</v>
      </c>
      <c r="I10" s="49" t="s">
        <v>67</v>
      </c>
      <c r="J10" s="71" t="s">
        <v>493</v>
      </c>
    </row>
    <row r="11" spans="2:10" x14ac:dyDescent="0.25">
      <c r="B11" s="10" t="s">
        <v>18</v>
      </c>
      <c r="C11" s="10" t="s">
        <v>97</v>
      </c>
      <c r="D11" s="49" t="s">
        <v>294</v>
      </c>
      <c r="E11" s="47">
        <v>4800</v>
      </c>
      <c r="F11" s="47">
        <v>9600</v>
      </c>
      <c r="G11" s="47">
        <v>4800</v>
      </c>
      <c r="H11" s="46">
        <v>16</v>
      </c>
      <c r="I11" s="49" t="s">
        <v>98</v>
      </c>
      <c r="J11" s="71" t="s">
        <v>493</v>
      </c>
    </row>
    <row r="12" spans="2:10" x14ac:dyDescent="0.25">
      <c r="B12" s="10" t="s">
        <v>18</v>
      </c>
      <c r="C12" s="10" t="s">
        <v>118</v>
      </c>
      <c r="D12" s="49" t="s">
        <v>248</v>
      </c>
      <c r="E12" s="47">
        <v>4800</v>
      </c>
      <c r="F12" s="47">
        <v>6000</v>
      </c>
      <c r="G12" s="47">
        <v>1200</v>
      </c>
      <c r="H12" s="46">
        <v>42</v>
      </c>
      <c r="I12" s="49" t="s">
        <v>90</v>
      </c>
      <c r="J12" s="71" t="s">
        <v>493</v>
      </c>
    </row>
    <row r="13" spans="2:10" x14ac:dyDescent="0.25">
      <c r="B13" s="10" t="s">
        <v>17</v>
      </c>
      <c r="C13" s="10" t="s">
        <v>126</v>
      </c>
      <c r="D13" s="49" t="s">
        <v>242</v>
      </c>
      <c r="E13" s="47">
        <v>4800</v>
      </c>
      <c r="F13" s="47">
        <v>5400</v>
      </c>
      <c r="G13" s="47">
        <v>600</v>
      </c>
      <c r="H13" s="46">
        <v>7</v>
      </c>
      <c r="I13" s="49" t="s">
        <v>103</v>
      </c>
      <c r="J13" s="71" t="s">
        <v>493</v>
      </c>
    </row>
    <row r="14" spans="2:10" x14ac:dyDescent="0.25">
      <c r="B14" s="10" t="s">
        <v>17</v>
      </c>
      <c r="C14" s="10" t="s">
        <v>132</v>
      </c>
      <c r="D14" s="49" t="s">
        <v>242</v>
      </c>
      <c r="E14" s="47">
        <v>4800</v>
      </c>
      <c r="F14" s="47">
        <v>4800</v>
      </c>
      <c r="G14" s="47">
        <v>0</v>
      </c>
      <c r="H14" s="46">
        <v>6</v>
      </c>
      <c r="I14" s="49" t="s">
        <v>133</v>
      </c>
      <c r="J14" s="71" t="s">
        <v>493</v>
      </c>
    </row>
    <row r="15" spans="2:10" x14ac:dyDescent="0.25">
      <c r="B15" s="10" t="s">
        <v>18</v>
      </c>
      <c r="C15" s="10" t="s">
        <v>142</v>
      </c>
      <c r="D15" s="49" t="s">
        <v>293</v>
      </c>
      <c r="E15" s="47">
        <v>4200</v>
      </c>
      <c r="F15" s="47">
        <v>4200</v>
      </c>
      <c r="G15" s="47">
        <v>0</v>
      </c>
      <c r="H15" s="46">
        <v>20</v>
      </c>
      <c r="I15" s="49" t="s">
        <v>115</v>
      </c>
      <c r="J15" s="71" t="s">
        <v>493</v>
      </c>
    </row>
    <row r="16" spans="2:10" x14ac:dyDescent="0.25">
      <c r="B16" s="10" t="s">
        <v>18</v>
      </c>
      <c r="C16" s="10" t="s">
        <v>81</v>
      </c>
      <c r="D16" s="49" t="s">
        <v>293</v>
      </c>
      <c r="E16" s="47">
        <v>3000</v>
      </c>
      <c r="F16" s="47">
        <v>12600</v>
      </c>
      <c r="G16" s="47">
        <v>9600</v>
      </c>
      <c r="H16" s="46">
        <v>41</v>
      </c>
      <c r="I16" s="49" t="s">
        <v>61</v>
      </c>
      <c r="J16" s="71" t="s">
        <v>493</v>
      </c>
    </row>
    <row r="17" spans="2:10" x14ac:dyDescent="0.25">
      <c r="B17" s="10" t="s">
        <v>17</v>
      </c>
      <c r="C17" s="10" t="s">
        <v>72</v>
      </c>
      <c r="D17" s="49" t="s">
        <v>227</v>
      </c>
      <c r="E17" s="47">
        <v>1800</v>
      </c>
      <c r="F17" s="47">
        <v>21000</v>
      </c>
      <c r="G17" s="47">
        <v>19200</v>
      </c>
      <c r="H17" s="46">
        <v>10</v>
      </c>
      <c r="I17" s="49" t="s">
        <v>73</v>
      </c>
      <c r="J17" s="70" t="s">
        <v>494</v>
      </c>
    </row>
    <row r="18" spans="2:10" x14ac:dyDescent="0.25">
      <c r="B18" s="10" t="s">
        <v>17</v>
      </c>
      <c r="C18" s="10" t="s">
        <v>102</v>
      </c>
      <c r="D18" s="49" t="s">
        <v>233</v>
      </c>
      <c r="E18" s="47">
        <v>1800</v>
      </c>
      <c r="F18" s="47">
        <v>7800</v>
      </c>
      <c r="G18" s="47">
        <v>6161.46</v>
      </c>
      <c r="H18" s="46">
        <v>7</v>
      </c>
      <c r="I18" s="49" t="s">
        <v>103</v>
      </c>
      <c r="J18" s="70" t="s">
        <v>494</v>
      </c>
    </row>
    <row r="19" spans="2:10" x14ac:dyDescent="0.25">
      <c r="B19" s="10" t="s">
        <v>17</v>
      </c>
      <c r="C19" s="10" t="s">
        <v>114</v>
      </c>
      <c r="D19" s="49" t="s">
        <v>270</v>
      </c>
      <c r="E19" s="47">
        <v>1275</v>
      </c>
      <c r="F19" s="47">
        <v>6075</v>
      </c>
      <c r="G19" s="47">
        <v>4943.52</v>
      </c>
      <c r="H19" s="46">
        <v>20</v>
      </c>
      <c r="I19" s="49" t="s">
        <v>115</v>
      </c>
      <c r="J19" s="70" t="s">
        <v>494</v>
      </c>
    </row>
    <row r="20" spans="2:10" x14ac:dyDescent="0.25">
      <c r="B20" s="10" t="s">
        <v>18</v>
      </c>
      <c r="C20" s="10" t="s">
        <v>160</v>
      </c>
      <c r="D20" s="49" t="s">
        <v>226</v>
      </c>
      <c r="E20" s="47">
        <v>1225</v>
      </c>
      <c r="F20" s="47">
        <v>1225</v>
      </c>
      <c r="G20" s="47">
        <v>0</v>
      </c>
      <c r="H20" s="46">
        <v>10</v>
      </c>
      <c r="I20" s="49" t="s">
        <v>73</v>
      </c>
      <c r="J20" s="70" t="s">
        <v>494</v>
      </c>
    </row>
    <row r="21" spans="2:10" x14ac:dyDescent="0.25">
      <c r="B21" s="10" t="s">
        <v>17</v>
      </c>
      <c r="C21" s="10" t="s">
        <v>120</v>
      </c>
      <c r="D21" s="49" t="s">
        <v>227</v>
      </c>
      <c r="E21" s="47">
        <v>1200</v>
      </c>
      <c r="F21" s="47">
        <v>5680</v>
      </c>
      <c r="G21" s="47">
        <v>4515.88</v>
      </c>
      <c r="H21" s="46">
        <v>35</v>
      </c>
      <c r="I21" s="49" t="s">
        <v>71</v>
      </c>
      <c r="J21" s="70" t="s">
        <v>494</v>
      </c>
    </row>
    <row r="22" spans="2:10" x14ac:dyDescent="0.25">
      <c r="B22" s="10" t="s">
        <v>17</v>
      </c>
      <c r="C22" s="10" t="s">
        <v>88</v>
      </c>
      <c r="D22" s="49" t="s">
        <v>233</v>
      </c>
      <c r="E22" s="47">
        <v>1182.06</v>
      </c>
      <c r="F22" s="47">
        <v>10800</v>
      </c>
      <c r="G22" s="47">
        <v>9689.7</v>
      </c>
      <c r="H22" s="46">
        <v>48</v>
      </c>
      <c r="I22" s="49" t="s">
        <v>89</v>
      </c>
      <c r="J22" s="70" t="s">
        <v>494</v>
      </c>
    </row>
    <row r="23" spans="2:10" x14ac:dyDescent="0.25">
      <c r="B23" s="10" t="s">
        <v>18</v>
      </c>
      <c r="C23" s="10" t="s">
        <v>86</v>
      </c>
      <c r="D23" s="49" t="s">
        <v>293</v>
      </c>
      <c r="E23" s="47">
        <v>600</v>
      </c>
      <c r="F23" s="47">
        <v>10800</v>
      </c>
      <c r="G23" s="47">
        <v>10200</v>
      </c>
      <c r="H23" s="46">
        <v>43</v>
      </c>
      <c r="I23" s="49" t="s">
        <v>87</v>
      </c>
      <c r="J23" s="70" t="s">
        <v>494</v>
      </c>
    </row>
    <row r="24" spans="2:10" x14ac:dyDescent="0.25">
      <c r="B24" s="10" t="s">
        <v>17</v>
      </c>
      <c r="C24" s="10" t="s">
        <v>117</v>
      </c>
      <c r="D24" s="49" t="s">
        <v>241</v>
      </c>
      <c r="E24" s="47">
        <v>600</v>
      </c>
      <c r="F24" s="47">
        <v>6075</v>
      </c>
      <c r="G24" s="47">
        <v>5513.12</v>
      </c>
      <c r="H24" s="46">
        <v>35</v>
      </c>
      <c r="I24" s="49" t="s">
        <v>71</v>
      </c>
      <c r="J24" s="70" t="s">
        <v>494</v>
      </c>
    </row>
    <row r="25" spans="2:10" x14ac:dyDescent="0.25">
      <c r="B25" s="10" t="s">
        <v>18</v>
      </c>
      <c r="C25" s="10" t="s">
        <v>172</v>
      </c>
      <c r="D25" s="49" t="s">
        <v>300</v>
      </c>
      <c r="E25" s="47">
        <v>600</v>
      </c>
      <c r="F25" s="47">
        <v>600</v>
      </c>
      <c r="G25" s="47">
        <v>0</v>
      </c>
      <c r="H25" s="46">
        <v>45</v>
      </c>
      <c r="I25" s="49" t="s">
        <v>131</v>
      </c>
      <c r="J25" s="70" t="s">
        <v>494</v>
      </c>
    </row>
    <row r="26" spans="2:10" x14ac:dyDescent="0.25">
      <c r="B26" s="10" t="s">
        <v>17</v>
      </c>
      <c r="C26" s="10" t="s">
        <v>193</v>
      </c>
      <c r="D26" s="49" t="s">
        <v>242</v>
      </c>
      <c r="E26" s="47">
        <v>600</v>
      </c>
      <c r="F26" s="47">
        <v>600</v>
      </c>
      <c r="G26" s="47">
        <v>0</v>
      </c>
      <c r="H26" s="46">
        <v>169</v>
      </c>
      <c r="I26" s="49" t="s">
        <v>127</v>
      </c>
      <c r="J26" s="72" t="s">
        <v>495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FormatPr defaultRowHeight="15" outlineLevelRow="0" outlineLevelCol="0" x14ac:dyDescent="55"/>
  <cols>
    <col min="1" max="1" width="3" customWidth="1"/>
  </cols>
  <sheetData>
    <row r="2" spans="2:8" x14ac:dyDescent="0.25">
      <c r="B2" s="29" t="s">
        <v>496</v>
      </c>
      <c r="C2" s="29"/>
      <c r="D2" s="29"/>
      <c r="E2" s="29"/>
      <c r="F2" s="29"/>
      <c r="G2" s="29"/>
      <c r="H2" s="29"/>
    </row>
    <row r="5" spans="2:9" x14ac:dyDescent="0.25">
      <c r="B5" s="9" t="s">
        <v>46</v>
      </c>
      <c r="C5" s="9" t="s">
        <v>219</v>
      </c>
      <c r="D5" s="9" t="s">
        <v>220</v>
      </c>
      <c r="E5" s="9" t="s">
        <v>264</v>
      </c>
      <c r="F5" s="9" t="s">
        <v>491</v>
      </c>
      <c r="G5" s="9" t="s">
        <v>57</v>
      </c>
      <c r="H5" s="9" t="s">
        <v>262</v>
      </c>
      <c r="I5" s="9" t="s">
        <v>9</v>
      </c>
    </row>
    <row r="6" spans="2:9" x14ac:dyDescent="0.25">
      <c r="B6" s="10" t="s">
        <v>18</v>
      </c>
      <c r="C6" s="10" t="s">
        <v>150</v>
      </c>
      <c r="D6" s="49" t="s">
        <v>293</v>
      </c>
      <c r="E6" s="49" t="s">
        <v>276</v>
      </c>
      <c r="F6" s="46">
        <v>219</v>
      </c>
      <c r="G6" s="49" t="s">
        <v>151</v>
      </c>
      <c r="H6" s="47">
        <v>2400</v>
      </c>
      <c r="I6" s="47">
        <v>0</v>
      </c>
    </row>
    <row r="7" spans="2:9" x14ac:dyDescent="0.25">
      <c r="B7" s="10" t="s">
        <v>17</v>
      </c>
      <c r="C7" s="10" t="s">
        <v>197</v>
      </c>
      <c r="D7" s="49" t="s">
        <v>227</v>
      </c>
      <c r="E7" s="49" t="s">
        <v>276</v>
      </c>
      <c r="F7" s="46">
        <v>212</v>
      </c>
      <c r="G7" s="49" t="s">
        <v>198</v>
      </c>
      <c r="H7" s="47">
        <v>350</v>
      </c>
      <c r="I7" s="47">
        <v>0</v>
      </c>
    </row>
    <row r="8" spans="2:9" x14ac:dyDescent="0.25">
      <c r="B8" s="10" t="s">
        <v>17</v>
      </c>
      <c r="C8" s="10" t="s">
        <v>194</v>
      </c>
      <c r="D8" s="49" t="s">
        <v>242</v>
      </c>
      <c r="E8" s="49" t="s">
        <v>276</v>
      </c>
      <c r="F8" s="46">
        <v>203</v>
      </c>
      <c r="G8" s="49" t="s">
        <v>195</v>
      </c>
      <c r="H8" s="47">
        <v>350</v>
      </c>
      <c r="I8" s="47">
        <v>0</v>
      </c>
    </row>
    <row r="9" spans="2:9" x14ac:dyDescent="0.25">
      <c r="B9" s="10" t="s">
        <v>17</v>
      </c>
      <c r="C9" s="10" t="s">
        <v>123</v>
      </c>
      <c r="D9" s="49" t="s">
        <v>233</v>
      </c>
      <c r="E9" s="49" t="s">
        <v>276</v>
      </c>
      <c r="F9" s="46">
        <v>198</v>
      </c>
      <c r="G9" s="49" t="s">
        <v>124</v>
      </c>
      <c r="H9" s="47">
        <v>5500</v>
      </c>
      <c r="I9" s="47">
        <v>0</v>
      </c>
    </row>
    <row r="10" spans="2:9" x14ac:dyDescent="0.25">
      <c r="B10" s="10" t="s">
        <v>18</v>
      </c>
      <c r="C10" s="10" t="s">
        <v>149</v>
      </c>
      <c r="D10" s="49" t="s">
        <v>238</v>
      </c>
      <c r="E10" s="49" t="s">
        <v>276</v>
      </c>
      <c r="F10" s="46">
        <v>176</v>
      </c>
      <c r="G10" s="49" t="s">
        <v>148</v>
      </c>
      <c r="H10" s="47">
        <v>2400</v>
      </c>
      <c r="I10" s="47">
        <v>0</v>
      </c>
    </row>
    <row r="11" spans="2:9" x14ac:dyDescent="0.25">
      <c r="B11" s="10" t="s">
        <v>17</v>
      </c>
      <c r="C11" s="10" t="s">
        <v>167</v>
      </c>
      <c r="D11" s="49" t="s">
        <v>227</v>
      </c>
      <c r="E11" s="49" t="s">
        <v>276</v>
      </c>
      <c r="F11" s="46">
        <v>176</v>
      </c>
      <c r="G11" s="49" t="s">
        <v>148</v>
      </c>
      <c r="H11" s="47">
        <v>700</v>
      </c>
      <c r="I11" s="47">
        <v>0</v>
      </c>
    </row>
    <row r="12" spans="2:9" x14ac:dyDescent="0.25">
      <c r="B12" s="10" t="s">
        <v>17</v>
      </c>
      <c r="C12" s="10" t="s">
        <v>193</v>
      </c>
      <c r="D12" s="49" t="s">
        <v>242</v>
      </c>
      <c r="E12" s="49" t="s">
        <v>276</v>
      </c>
      <c r="F12" s="46">
        <v>169</v>
      </c>
      <c r="G12" s="49" t="s">
        <v>127</v>
      </c>
      <c r="H12" s="47">
        <v>600</v>
      </c>
      <c r="I12" s="47">
        <v>600</v>
      </c>
    </row>
    <row r="13" spans="2:9" x14ac:dyDescent="0.25">
      <c r="B13" s="10" t="s">
        <v>18</v>
      </c>
      <c r="C13" s="10" t="s">
        <v>200</v>
      </c>
      <c r="D13" s="49" t="s">
        <v>296</v>
      </c>
      <c r="E13" s="49" t="s">
        <v>276</v>
      </c>
      <c r="F13" s="46">
        <v>163</v>
      </c>
      <c r="G13" s="49" t="s">
        <v>191</v>
      </c>
      <c r="H13" s="47">
        <v>0</v>
      </c>
      <c r="I13" s="47">
        <v>0</v>
      </c>
    </row>
    <row r="14" spans="2:9" x14ac:dyDescent="0.25">
      <c r="B14" s="10" t="s">
        <v>17</v>
      </c>
      <c r="C14" s="10" t="s">
        <v>190</v>
      </c>
      <c r="D14" s="49" t="s">
        <v>249</v>
      </c>
      <c r="E14" s="49" t="s">
        <v>276</v>
      </c>
      <c r="F14" s="46">
        <v>163</v>
      </c>
      <c r="G14" s="49" t="s">
        <v>191</v>
      </c>
      <c r="H14" s="47">
        <v>600</v>
      </c>
      <c r="I14" s="47">
        <v>0</v>
      </c>
    </row>
    <row r="15" spans="2:9" x14ac:dyDescent="0.25">
      <c r="B15" s="10" t="s">
        <v>17</v>
      </c>
      <c r="C15" s="10" t="s">
        <v>187</v>
      </c>
      <c r="D15" s="49" t="s">
        <v>233</v>
      </c>
      <c r="E15" s="49" t="s">
        <v>276</v>
      </c>
      <c r="F15" s="46">
        <v>156</v>
      </c>
      <c r="G15" s="49" t="s">
        <v>188</v>
      </c>
      <c r="H15" s="47">
        <v>600</v>
      </c>
      <c r="I15" s="47">
        <v>0</v>
      </c>
    </row>
    <row r="16" spans="2:9" x14ac:dyDescent="0.25">
      <c r="B16" s="10" t="s">
        <v>18</v>
      </c>
      <c r="C16" s="10" t="s">
        <v>185</v>
      </c>
      <c r="D16" s="49" t="s">
        <v>248</v>
      </c>
      <c r="E16" s="49" t="s">
        <v>276</v>
      </c>
      <c r="F16" s="46">
        <v>155</v>
      </c>
      <c r="G16" s="49" t="s">
        <v>186</v>
      </c>
      <c r="H16" s="47">
        <v>600</v>
      </c>
      <c r="I16" s="47">
        <v>0</v>
      </c>
    </row>
    <row r="17" spans="2:9" x14ac:dyDescent="0.25">
      <c r="B17" s="10" t="s">
        <v>17</v>
      </c>
      <c r="C17" s="10" t="s">
        <v>94</v>
      </c>
      <c r="D17" s="49" t="s">
        <v>227</v>
      </c>
      <c r="E17" s="49" t="s">
        <v>276</v>
      </c>
      <c r="F17" s="46">
        <v>140</v>
      </c>
      <c r="G17" s="49" t="s">
        <v>95</v>
      </c>
      <c r="H17" s="47">
        <v>9800</v>
      </c>
      <c r="I17" s="47">
        <v>0</v>
      </c>
    </row>
    <row r="18" spans="2:9" x14ac:dyDescent="0.25">
      <c r="B18" s="10" t="s">
        <v>18</v>
      </c>
      <c r="C18" s="10" t="s">
        <v>183</v>
      </c>
      <c r="D18" s="49" t="s">
        <v>245</v>
      </c>
      <c r="E18" s="49" t="s">
        <v>276</v>
      </c>
      <c r="F18" s="46">
        <v>139</v>
      </c>
      <c r="G18" s="49" t="s">
        <v>184</v>
      </c>
      <c r="H18" s="47">
        <v>600</v>
      </c>
      <c r="I18" s="47">
        <v>0</v>
      </c>
    </row>
    <row r="19" spans="2:9" x14ac:dyDescent="0.25">
      <c r="B19" s="10" t="s">
        <v>18</v>
      </c>
      <c r="C19" s="10" t="s">
        <v>164</v>
      </c>
      <c r="D19" s="49" t="s">
        <v>246</v>
      </c>
      <c r="E19" s="49" t="s">
        <v>276</v>
      </c>
      <c r="F19" s="46">
        <v>134</v>
      </c>
      <c r="G19" s="49" t="s">
        <v>165</v>
      </c>
      <c r="H19" s="47">
        <v>1200</v>
      </c>
      <c r="I19" s="47">
        <v>0</v>
      </c>
    </row>
    <row r="20" spans="2:9" x14ac:dyDescent="0.25">
      <c r="B20" s="10" t="s">
        <v>18</v>
      </c>
      <c r="C20" s="10" t="s">
        <v>91</v>
      </c>
      <c r="D20" s="49" t="s">
        <v>226</v>
      </c>
      <c r="E20" s="49" t="s">
        <v>276</v>
      </c>
      <c r="F20" s="46">
        <v>128</v>
      </c>
      <c r="G20" s="49" t="s">
        <v>92</v>
      </c>
      <c r="H20" s="47">
        <v>10200</v>
      </c>
      <c r="I20" s="47">
        <v>0</v>
      </c>
    </row>
    <row r="21" spans="2:9" x14ac:dyDescent="0.25">
      <c r="B21" s="10" t="s">
        <v>18</v>
      </c>
      <c r="C21" s="10" t="s">
        <v>180</v>
      </c>
      <c r="D21" s="49" t="s">
        <v>226</v>
      </c>
      <c r="E21" s="49" t="s">
        <v>276</v>
      </c>
      <c r="F21" s="46">
        <v>118</v>
      </c>
      <c r="G21" s="49" t="s">
        <v>181</v>
      </c>
      <c r="H21" s="47">
        <v>600</v>
      </c>
      <c r="I21" s="47">
        <v>0</v>
      </c>
    </row>
    <row r="22" spans="2:9" x14ac:dyDescent="0.25">
      <c r="B22" s="10" t="s">
        <v>18</v>
      </c>
      <c r="C22" s="10" t="s">
        <v>215</v>
      </c>
      <c r="D22" s="49" t="s">
        <v>302</v>
      </c>
      <c r="E22" s="49" t="s">
        <v>276</v>
      </c>
      <c r="F22" s="46">
        <v>112</v>
      </c>
      <c r="G22" s="49" t="s">
        <v>216</v>
      </c>
      <c r="H22" s="47">
        <v>0</v>
      </c>
      <c r="I22" s="47">
        <v>0</v>
      </c>
    </row>
    <row r="23" spans="2:9" x14ac:dyDescent="0.25">
      <c r="B23" s="10" t="s">
        <v>18</v>
      </c>
      <c r="C23" s="10" t="s">
        <v>147</v>
      </c>
      <c r="D23" s="49" t="s">
        <v>238</v>
      </c>
      <c r="E23" s="49" t="s">
        <v>276</v>
      </c>
      <c r="F23" s="46">
        <v>107</v>
      </c>
      <c r="G23" s="49" t="s">
        <v>96</v>
      </c>
      <c r="H23" s="47">
        <v>2400</v>
      </c>
      <c r="I23" s="47">
        <v>0</v>
      </c>
    </row>
    <row r="24" spans="2:9" x14ac:dyDescent="0.25">
      <c r="B24" s="10" t="s">
        <v>18</v>
      </c>
      <c r="C24" s="10" t="s">
        <v>178</v>
      </c>
      <c r="D24" s="49" t="s">
        <v>226</v>
      </c>
      <c r="E24" s="49" t="s">
        <v>276</v>
      </c>
      <c r="F24" s="46">
        <v>94</v>
      </c>
      <c r="G24" s="49" t="s">
        <v>179</v>
      </c>
      <c r="H24" s="47">
        <v>600</v>
      </c>
      <c r="I24" s="47">
        <v>0</v>
      </c>
    </row>
    <row r="25" spans="2:9" x14ac:dyDescent="0.25">
      <c r="B25" s="10" t="s">
        <v>18</v>
      </c>
      <c r="C25" s="10" t="s">
        <v>130</v>
      </c>
      <c r="D25" s="49" t="s">
        <v>238</v>
      </c>
      <c r="E25" s="49" t="s">
        <v>276</v>
      </c>
      <c r="F25" s="46">
        <v>91</v>
      </c>
      <c r="G25" s="49" t="s">
        <v>303</v>
      </c>
      <c r="H25" s="47">
        <v>4800</v>
      </c>
      <c r="I25" s="47">
        <v>0</v>
      </c>
    </row>
    <row r="26" spans="2:9" x14ac:dyDescent="0.25">
      <c r="B26" s="10" t="s">
        <v>17</v>
      </c>
      <c r="C26" s="10" t="s">
        <v>175</v>
      </c>
      <c r="D26" s="49" t="s">
        <v>227</v>
      </c>
      <c r="E26" s="49" t="s">
        <v>266</v>
      </c>
      <c r="F26" s="46">
        <v>85</v>
      </c>
      <c r="G26" s="49" t="s">
        <v>176</v>
      </c>
      <c r="H26" s="47">
        <v>600</v>
      </c>
      <c r="I26" s="47">
        <v>0</v>
      </c>
    </row>
    <row r="27" spans="2:9" x14ac:dyDescent="0.25">
      <c r="B27" s="10" t="s">
        <v>17</v>
      </c>
      <c r="C27" s="10" t="s">
        <v>213</v>
      </c>
      <c r="D27" s="49" t="s">
        <v>275</v>
      </c>
      <c r="E27" s="49" t="s">
        <v>266</v>
      </c>
      <c r="F27" s="46">
        <v>73</v>
      </c>
      <c r="G27" s="49" t="s">
        <v>214</v>
      </c>
      <c r="H27" s="47">
        <v>0</v>
      </c>
      <c r="I27" s="47">
        <v>0</v>
      </c>
    </row>
    <row r="28" spans="2:9" x14ac:dyDescent="0.25">
      <c r="B28" s="10" t="s">
        <v>18</v>
      </c>
      <c r="C28" s="10" t="s">
        <v>156</v>
      </c>
      <c r="D28" s="49" t="s">
        <v>293</v>
      </c>
      <c r="E28" s="49" t="s">
        <v>266</v>
      </c>
      <c r="F28" s="46">
        <v>72</v>
      </c>
      <c r="G28" s="49" t="s">
        <v>140</v>
      </c>
      <c r="H28" s="47">
        <v>1800</v>
      </c>
      <c r="I28" s="47">
        <v>0</v>
      </c>
    </row>
    <row r="29" spans="2:9" x14ac:dyDescent="0.25">
      <c r="B29" s="10" t="s">
        <v>18</v>
      </c>
      <c r="C29" s="10" t="s">
        <v>139</v>
      </c>
      <c r="D29" s="49" t="s">
        <v>244</v>
      </c>
      <c r="E29" s="49" t="s">
        <v>266</v>
      </c>
      <c r="F29" s="46">
        <v>72</v>
      </c>
      <c r="G29" s="49" t="s">
        <v>140</v>
      </c>
      <c r="H29" s="47">
        <v>4800</v>
      </c>
      <c r="I29" s="47">
        <v>0</v>
      </c>
    </row>
    <row r="30" spans="2:9" x14ac:dyDescent="0.25">
      <c r="B30" s="10" t="s">
        <v>17</v>
      </c>
      <c r="C30" s="10" t="s">
        <v>163</v>
      </c>
      <c r="D30" s="49" t="s">
        <v>242</v>
      </c>
      <c r="E30" s="49" t="s">
        <v>266</v>
      </c>
      <c r="F30" s="46">
        <v>71</v>
      </c>
      <c r="G30" s="49" t="s">
        <v>154</v>
      </c>
      <c r="H30" s="47">
        <v>1200</v>
      </c>
      <c r="I30" s="47">
        <v>0</v>
      </c>
    </row>
    <row r="31" spans="2:9" x14ac:dyDescent="0.25">
      <c r="B31" s="10" t="s">
        <v>17</v>
      </c>
      <c r="C31" s="10" t="s">
        <v>153</v>
      </c>
      <c r="D31" s="49" t="s">
        <v>227</v>
      </c>
      <c r="E31" s="49" t="s">
        <v>266</v>
      </c>
      <c r="F31" s="46">
        <v>71</v>
      </c>
      <c r="G31" s="49" t="s">
        <v>154</v>
      </c>
      <c r="H31" s="47">
        <v>1800</v>
      </c>
      <c r="I31" s="47">
        <v>0</v>
      </c>
    </row>
    <row r="32" spans="2:9" x14ac:dyDescent="0.25">
      <c r="B32" s="10" t="s">
        <v>18</v>
      </c>
      <c r="C32" s="10" t="s">
        <v>128</v>
      </c>
      <c r="D32" s="49" t="s">
        <v>226</v>
      </c>
      <c r="E32" s="49" t="s">
        <v>266</v>
      </c>
      <c r="F32" s="46">
        <v>67</v>
      </c>
      <c r="G32" s="49" t="s">
        <v>129</v>
      </c>
      <c r="H32" s="47">
        <v>5400</v>
      </c>
      <c r="I32" s="47">
        <v>0</v>
      </c>
    </row>
    <row r="33" spans="2:9" x14ac:dyDescent="0.25">
      <c r="B33" s="10" t="s">
        <v>18</v>
      </c>
      <c r="C33" s="10" t="s">
        <v>211</v>
      </c>
      <c r="D33" s="49" t="s">
        <v>302</v>
      </c>
      <c r="E33" s="49" t="s">
        <v>266</v>
      </c>
      <c r="F33" s="46">
        <v>62</v>
      </c>
      <c r="G33" s="49" t="s">
        <v>212</v>
      </c>
      <c r="H33" s="47">
        <v>0</v>
      </c>
      <c r="I33" s="47">
        <v>0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2"/>
  <sheetFormatPr defaultRowHeight="15" outlineLevelRow="0" outlineLevelCol="0" x14ac:dyDescent="55"/>
  <sheetData>
    <row r="1" spans="1:16" x14ac:dyDescent="0.25">
      <c r="A1" s="9" t="s">
        <v>259</v>
      </c>
      <c r="B1" s="9" t="s">
        <v>497</v>
      </c>
      <c r="C1" s="9" t="s">
        <v>498</v>
      </c>
      <c r="D1" s="9" t="s">
        <v>220</v>
      </c>
      <c r="E1" s="9" t="s">
        <v>499</v>
      </c>
      <c r="F1" s="9" t="s">
        <v>500</v>
      </c>
      <c r="G1" s="9" t="s">
        <v>222</v>
      </c>
      <c r="H1" s="9" t="s">
        <v>501</v>
      </c>
      <c r="I1" s="9" t="s">
        <v>502</v>
      </c>
      <c r="J1" s="9" t="s">
        <v>223</v>
      </c>
      <c r="K1" s="9" t="s">
        <v>503</v>
      </c>
      <c r="L1" s="9" t="s">
        <v>504</v>
      </c>
      <c r="M1" s="9" t="s">
        <v>9</v>
      </c>
      <c r="N1" s="9" t="s">
        <v>505</v>
      </c>
      <c r="O1" s="9" t="s">
        <v>506</v>
      </c>
      <c r="P1" s="9" t="s">
        <v>225</v>
      </c>
    </row>
    <row r="2" spans="1:16" x14ac:dyDescent="0.25">
      <c r="A2" s="10" t="s">
        <v>63</v>
      </c>
      <c r="B2" s="10" t="s">
        <v>63</v>
      </c>
      <c r="C2" s="10" t="s">
        <v>507</v>
      </c>
      <c r="D2" s="10" t="s">
        <v>227</v>
      </c>
      <c r="E2" s="10" t="s">
        <v>17</v>
      </c>
      <c r="F2" s="10" t="s">
        <v>266</v>
      </c>
      <c r="G2" s="46">
        <v>7</v>
      </c>
      <c r="H2" s="46">
        <v>0</v>
      </c>
      <c r="I2" s="46">
        <v>7</v>
      </c>
      <c r="J2" s="46">
        <v>63</v>
      </c>
      <c r="K2" s="47">
        <v>31500</v>
      </c>
      <c r="L2" s="47">
        <v>21900</v>
      </c>
      <c r="M2" s="47">
        <v>9600</v>
      </c>
      <c r="N2" s="10" t="s">
        <v>195</v>
      </c>
      <c r="O2" s="10" t="s">
        <v>64</v>
      </c>
      <c r="P2" s="46">
        <v>2</v>
      </c>
    </row>
    <row r="3" spans="1:16" x14ac:dyDescent="0.25">
      <c r="A3" s="10" t="s">
        <v>69</v>
      </c>
      <c r="B3" s="10" t="s">
        <v>69</v>
      </c>
      <c r="C3" s="10" t="s">
        <v>508</v>
      </c>
      <c r="D3" s="10" t="s">
        <v>227</v>
      </c>
      <c r="E3" s="10" t="s">
        <v>17</v>
      </c>
      <c r="F3" s="10" t="s">
        <v>266</v>
      </c>
      <c r="G3" s="46">
        <v>18</v>
      </c>
      <c r="H3" s="46">
        <v>0</v>
      </c>
      <c r="I3" s="46">
        <v>17</v>
      </c>
      <c r="J3" s="46">
        <v>57</v>
      </c>
      <c r="K3" s="47">
        <v>25900</v>
      </c>
      <c r="L3" s="47">
        <v>19300</v>
      </c>
      <c r="M3" s="47">
        <v>6600</v>
      </c>
      <c r="N3" s="10" t="s">
        <v>267</v>
      </c>
      <c r="O3" s="10" t="s">
        <v>70</v>
      </c>
      <c r="P3" s="46">
        <v>3</v>
      </c>
    </row>
    <row r="4" spans="1:16" x14ac:dyDescent="0.25">
      <c r="A4" s="10" t="s">
        <v>83</v>
      </c>
      <c r="B4" s="10" t="s">
        <v>83</v>
      </c>
      <c r="C4" s="10" t="s">
        <v>509</v>
      </c>
      <c r="D4" s="10" t="s">
        <v>232</v>
      </c>
      <c r="E4" s="10" t="s">
        <v>18</v>
      </c>
      <c r="F4" s="10" t="s">
        <v>266</v>
      </c>
      <c r="G4" s="46">
        <v>10</v>
      </c>
      <c r="H4" s="46">
        <v>0</v>
      </c>
      <c r="I4" s="46">
        <v>8</v>
      </c>
      <c r="J4" s="46">
        <v>30</v>
      </c>
      <c r="K4" s="47">
        <v>11100</v>
      </c>
      <c r="L4" s="47">
        <v>11100</v>
      </c>
      <c r="M4" s="47">
        <v>0</v>
      </c>
      <c r="N4" s="10" t="s">
        <v>151</v>
      </c>
      <c r="O4" s="10" t="s">
        <v>70</v>
      </c>
      <c r="P4" s="46">
        <v>3</v>
      </c>
    </row>
    <row r="5" spans="1:16" x14ac:dyDescent="0.25">
      <c r="A5" s="10" t="s">
        <v>132</v>
      </c>
      <c r="B5" s="10" t="s">
        <v>510</v>
      </c>
      <c r="C5" s="10" t="s">
        <v>511</v>
      </c>
      <c r="D5" s="10" t="s">
        <v>242</v>
      </c>
      <c r="E5" s="10" t="s">
        <v>17</v>
      </c>
      <c r="F5" s="10" t="s">
        <v>266</v>
      </c>
      <c r="G5" s="46">
        <v>2</v>
      </c>
      <c r="H5" s="46">
        <v>0</v>
      </c>
      <c r="I5" s="46">
        <v>2</v>
      </c>
      <c r="J5" s="46">
        <v>11</v>
      </c>
      <c r="K5" s="47">
        <v>4800</v>
      </c>
      <c r="L5" s="47">
        <v>0</v>
      </c>
      <c r="M5" s="47">
        <v>4800</v>
      </c>
      <c r="N5" s="10" t="s">
        <v>133</v>
      </c>
      <c r="O5" s="10" t="s">
        <v>133</v>
      </c>
      <c r="P5" s="46">
        <v>6</v>
      </c>
    </row>
    <row r="6" spans="1:16" x14ac:dyDescent="0.25">
      <c r="A6" s="10" t="s">
        <v>126</v>
      </c>
      <c r="B6" s="10" t="s">
        <v>512</v>
      </c>
      <c r="C6" s="10" t="s">
        <v>513</v>
      </c>
      <c r="D6" s="10" t="s">
        <v>242</v>
      </c>
      <c r="E6" s="10" t="s">
        <v>17</v>
      </c>
      <c r="F6" s="10" t="s">
        <v>266</v>
      </c>
      <c r="G6" s="46">
        <v>3</v>
      </c>
      <c r="H6" s="46">
        <v>0</v>
      </c>
      <c r="I6" s="46">
        <v>3</v>
      </c>
      <c r="J6" s="46">
        <v>15</v>
      </c>
      <c r="K6" s="47">
        <v>5400</v>
      </c>
      <c r="L6" s="47">
        <v>600</v>
      </c>
      <c r="M6" s="47">
        <v>4800</v>
      </c>
      <c r="N6" s="10" t="s">
        <v>243</v>
      </c>
      <c r="O6" s="10" t="s">
        <v>103</v>
      </c>
      <c r="P6" s="46">
        <v>7</v>
      </c>
    </row>
    <row r="7" spans="1:16" x14ac:dyDescent="0.25">
      <c r="A7" s="10" t="s">
        <v>110</v>
      </c>
      <c r="B7" s="10" t="s">
        <v>514</v>
      </c>
      <c r="C7" s="10" t="s">
        <v>515</v>
      </c>
      <c r="D7" s="10" t="s">
        <v>242</v>
      </c>
      <c r="E7" s="10" t="s">
        <v>17</v>
      </c>
      <c r="F7" s="10" t="s">
        <v>266</v>
      </c>
      <c r="G7" s="46">
        <v>2</v>
      </c>
      <c r="H7" s="46">
        <v>0</v>
      </c>
      <c r="I7" s="46">
        <v>2</v>
      </c>
      <c r="J7" s="46">
        <v>16</v>
      </c>
      <c r="K7" s="47">
        <v>6600</v>
      </c>
      <c r="L7" s="47">
        <v>0</v>
      </c>
      <c r="M7" s="47">
        <v>6600</v>
      </c>
      <c r="N7" s="10" t="s">
        <v>103</v>
      </c>
      <c r="O7" s="10" t="s">
        <v>103</v>
      </c>
      <c r="P7" s="46">
        <v>7</v>
      </c>
    </row>
    <row r="8" spans="1:16" x14ac:dyDescent="0.25">
      <c r="A8" s="10" t="s">
        <v>102</v>
      </c>
      <c r="B8" s="10" t="s">
        <v>516</v>
      </c>
      <c r="C8" s="10" t="s">
        <v>517</v>
      </c>
      <c r="D8" s="10" t="s">
        <v>233</v>
      </c>
      <c r="E8" s="10" t="s">
        <v>17</v>
      </c>
      <c r="F8" s="10" t="s">
        <v>266</v>
      </c>
      <c r="G8" s="46">
        <v>7</v>
      </c>
      <c r="H8" s="46">
        <v>0</v>
      </c>
      <c r="I8" s="46">
        <v>7</v>
      </c>
      <c r="J8" s="46">
        <v>15</v>
      </c>
      <c r="K8" s="47">
        <v>7800</v>
      </c>
      <c r="L8" s="47">
        <v>6000</v>
      </c>
      <c r="M8" s="47">
        <v>1800</v>
      </c>
      <c r="N8" s="10" t="s">
        <v>269</v>
      </c>
      <c r="O8" s="10" t="s">
        <v>103</v>
      </c>
      <c r="P8" s="46">
        <v>7</v>
      </c>
    </row>
    <row r="9" spans="1:16" x14ac:dyDescent="0.25">
      <c r="A9" s="10" t="s">
        <v>111</v>
      </c>
      <c r="B9" s="10" t="s">
        <v>111</v>
      </c>
      <c r="C9" s="10" t="s">
        <v>518</v>
      </c>
      <c r="D9" s="10" t="s">
        <v>238</v>
      </c>
      <c r="E9" s="10" t="s">
        <v>18</v>
      </c>
      <c r="F9" s="10" t="s">
        <v>266</v>
      </c>
      <c r="G9" s="46">
        <v>7</v>
      </c>
      <c r="H9" s="46">
        <v>0</v>
      </c>
      <c r="I9" s="46">
        <v>7</v>
      </c>
      <c r="J9" s="46">
        <v>20</v>
      </c>
      <c r="K9" s="47">
        <v>6600</v>
      </c>
      <c r="L9" s="47">
        <v>6600</v>
      </c>
      <c r="M9" s="47">
        <v>0</v>
      </c>
      <c r="N9" s="10" t="s">
        <v>291</v>
      </c>
      <c r="O9" s="10" t="s">
        <v>112</v>
      </c>
      <c r="P9" s="46">
        <v>8</v>
      </c>
    </row>
    <row r="10" spans="1:16" x14ac:dyDescent="0.25">
      <c r="A10" s="10" t="s">
        <v>160</v>
      </c>
      <c r="B10" s="10" t="s">
        <v>519</v>
      </c>
      <c r="C10" s="10" t="s">
        <v>520</v>
      </c>
      <c r="D10" s="10" t="s">
        <v>226</v>
      </c>
      <c r="E10" s="10" t="s">
        <v>18</v>
      </c>
      <c r="F10" s="10" t="s">
        <v>266</v>
      </c>
      <c r="G10" s="46">
        <v>3</v>
      </c>
      <c r="H10" s="46">
        <v>0</v>
      </c>
      <c r="I10" s="46">
        <v>3</v>
      </c>
      <c r="J10" s="46">
        <v>5</v>
      </c>
      <c r="K10" s="47">
        <v>1225</v>
      </c>
      <c r="L10" s="47">
        <v>0</v>
      </c>
      <c r="M10" s="47">
        <v>1225</v>
      </c>
      <c r="N10" s="10" t="s">
        <v>292</v>
      </c>
      <c r="O10" s="10" t="s">
        <v>73</v>
      </c>
      <c r="P10" s="46">
        <v>10</v>
      </c>
    </row>
    <row r="11" spans="1:16" x14ac:dyDescent="0.25">
      <c r="A11" s="10" t="s">
        <v>202</v>
      </c>
      <c r="B11" s="10" t="s">
        <v>521</v>
      </c>
      <c r="C11" s="10" t="s">
        <v>522</v>
      </c>
      <c r="D11" s="10" t="s">
        <v>232</v>
      </c>
      <c r="E11" s="10" t="s">
        <v>18</v>
      </c>
      <c r="F11" s="10" t="s">
        <v>266</v>
      </c>
      <c r="G11" s="46">
        <v>1</v>
      </c>
      <c r="H11" s="46">
        <v>0</v>
      </c>
      <c r="I11" s="46">
        <v>1</v>
      </c>
      <c r="J11" s="46">
        <v>1</v>
      </c>
      <c r="K11" s="47">
        <v>0</v>
      </c>
      <c r="L11" s="47">
        <v>0</v>
      </c>
      <c r="M11" s="47">
        <v>0</v>
      </c>
      <c r="N11" s="10" t="s">
        <v>73</v>
      </c>
      <c r="O11" s="10" t="s">
        <v>73</v>
      </c>
      <c r="P11" s="46">
        <v>10</v>
      </c>
    </row>
    <row r="12" spans="1:16" x14ac:dyDescent="0.25">
      <c r="A12" s="10" t="s">
        <v>161</v>
      </c>
      <c r="B12" s="10" t="s">
        <v>523</v>
      </c>
      <c r="C12" s="10" t="s">
        <v>524</v>
      </c>
      <c r="D12" s="10" t="s">
        <v>238</v>
      </c>
      <c r="E12" s="10" t="s">
        <v>18</v>
      </c>
      <c r="F12" s="10" t="s">
        <v>266</v>
      </c>
      <c r="G12" s="46">
        <v>5</v>
      </c>
      <c r="H12" s="46">
        <v>0</v>
      </c>
      <c r="I12" s="46">
        <v>5</v>
      </c>
      <c r="J12" s="46">
        <v>10</v>
      </c>
      <c r="K12" s="47">
        <v>1200</v>
      </c>
      <c r="L12" s="47">
        <v>1200</v>
      </c>
      <c r="M12" s="47">
        <v>0</v>
      </c>
      <c r="N12" s="10" t="s">
        <v>121</v>
      </c>
      <c r="O12" s="10" t="s">
        <v>73</v>
      </c>
      <c r="P12" s="46">
        <v>10</v>
      </c>
    </row>
    <row r="13" spans="1:16" x14ac:dyDescent="0.25">
      <c r="A13" s="10" t="s">
        <v>72</v>
      </c>
      <c r="B13" s="10" t="s">
        <v>525</v>
      </c>
      <c r="C13" s="10" t="s">
        <v>526</v>
      </c>
      <c r="D13" s="10" t="s">
        <v>227</v>
      </c>
      <c r="E13" s="10" t="s">
        <v>17</v>
      </c>
      <c r="F13" s="10" t="s">
        <v>266</v>
      </c>
      <c r="G13" s="46">
        <v>16</v>
      </c>
      <c r="H13" s="46">
        <v>0</v>
      </c>
      <c r="I13" s="46">
        <v>16</v>
      </c>
      <c r="J13" s="46">
        <v>37</v>
      </c>
      <c r="K13" s="47">
        <v>21000</v>
      </c>
      <c r="L13" s="47">
        <v>19200</v>
      </c>
      <c r="M13" s="47">
        <v>1800</v>
      </c>
      <c r="N13" s="10" t="s">
        <v>231</v>
      </c>
      <c r="O13" s="10" t="s">
        <v>73</v>
      </c>
      <c r="P13" s="46">
        <v>10</v>
      </c>
    </row>
    <row r="14" spans="1:16" x14ac:dyDescent="0.25">
      <c r="A14" s="10" t="s">
        <v>84</v>
      </c>
      <c r="B14" s="10" t="s">
        <v>527</v>
      </c>
      <c r="C14" s="10" t="s">
        <v>528</v>
      </c>
      <c r="D14" s="10" t="s">
        <v>248</v>
      </c>
      <c r="E14" s="10" t="s">
        <v>18</v>
      </c>
      <c r="F14" s="10" t="s">
        <v>266</v>
      </c>
      <c r="G14" s="46">
        <v>3</v>
      </c>
      <c r="H14" s="46">
        <v>0</v>
      </c>
      <c r="I14" s="46">
        <v>3</v>
      </c>
      <c r="J14" s="46">
        <v>20</v>
      </c>
      <c r="K14" s="47">
        <v>10800</v>
      </c>
      <c r="L14" s="47">
        <v>10800</v>
      </c>
      <c r="M14" s="47">
        <v>0</v>
      </c>
      <c r="N14" s="10" t="s">
        <v>89</v>
      </c>
      <c r="O14" s="10" t="s">
        <v>77</v>
      </c>
      <c r="P14" s="46">
        <v>15</v>
      </c>
    </row>
    <row r="15" spans="1:16" x14ac:dyDescent="0.25">
      <c r="A15" s="10" t="s">
        <v>76</v>
      </c>
      <c r="B15" s="10" t="s">
        <v>529</v>
      </c>
      <c r="C15" s="10" t="s">
        <v>530</v>
      </c>
      <c r="D15" s="10" t="s">
        <v>293</v>
      </c>
      <c r="E15" s="10" t="s">
        <v>18</v>
      </c>
      <c r="F15" s="10" t="s">
        <v>266</v>
      </c>
      <c r="G15" s="46">
        <v>1</v>
      </c>
      <c r="H15" s="46">
        <v>0</v>
      </c>
      <c r="I15" s="46">
        <v>1</v>
      </c>
      <c r="J15" s="46">
        <v>30</v>
      </c>
      <c r="K15" s="47">
        <v>18000</v>
      </c>
      <c r="L15" s="47">
        <v>18000</v>
      </c>
      <c r="M15" s="47">
        <v>0</v>
      </c>
      <c r="N15" s="10" t="s">
        <v>77</v>
      </c>
      <c r="O15" s="10" t="s">
        <v>77</v>
      </c>
      <c r="P15" s="46">
        <v>15</v>
      </c>
    </row>
    <row r="16" spans="1:16" x14ac:dyDescent="0.25">
      <c r="A16" s="10" t="s">
        <v>97</v>
      </c>
      <c r="B16" s="10" t="s">
        <v>531</v>
      </c>
      <c r="C16" s="10" t="s">
        <v>532</v>
      </c>
      <c r="D16" s="10" t="s">
        <v>294</v>
      </c>
      <c r="E16" s="10" t="s">
        <v>18</v>
      </c>
      <c r="F16" s="10" t="s">
        <v>266</v>
      </c>
      <c r="G16" s="46">
        <v>4</v>
      </c>
      <c r="H16" s="46">
        <v>0</v>
      </c>
      <c r="I16" s="46">
        <v>4</v>
      </c>
      <c r="J16" s="46">
        <v>20</v>
      </c>
      <c r="K16" s="47">
        <v>9600</v>
      </c>
      <c r="L16" s="47">
        <v>4800</v>
      </c>
      <c r="M16" s="47">
        <v>4800</v>
      </c>
      <c r="N16" s="10" t="s">
        <v>295</v>
      </c>
      <c r="O16" s="10" t="s">
        <v>98</v>
      </c>
      <c r="P16" s="46">
        <v>16</v>
      </c>
    </row>
    <row r="17" spans="1:16" x14ac:dyDescent="0.25">
      <c r="A17" s="10" t="s">
        <v>114</v>
      </c>
      <c r="B17" s="10" t="s">
        <v>533</v>
      </c>
      <c r="C17" s="10" t="s">
        <v>534</v>
      </c>
      <c r="D17" s="10" t="s">
        <v>270</v>
      </c>
      <c r="E17" s="10" t="s">
        <v>17</v>
      </c>
      <c r="F17" s="10" t="s">
        <v>266</v>
      </c>
      <c r="G17" s="46">
        <v>3</v>
      </c>
      <c r="H17" s="46">
        <v>0</v>
      </c>
      <c r="I17" s="46">
        <v>3</v>
      </c>
      <c r="J17" s="46">
        <v>12</v>
      </c>
      <c r="K17" s="47">
        <v>6075</v>
      </c>
      <c r="L17" s="47">
        <v>4800</v>
      </c>
      <c r="M17" s="47">
        <v>1275</v>
      </c>
      <c r="N17" s="10" t="s">
        <v>93</v>
      </c>
      <c r="O17" s="10" t="s">
        <v>115</v>
      </c>
      <c r="P17" s="46">
        <v>20</v>
      </c>
    </row>
    <row r="18" spans="1:16" x14ac:dyDescent="0.25">
      <c r="A18" s="10" t="s">
        <v>142</v>
      </c>
      <c r="B18" s="10" t="s">
        <v>535</v>
      </c>
      <c r="C18" s="10" t="s">
        <v>536</v>
      </c>
      <c r="D18" s="10" t="s">
        <v>293</v>
      </c>
      <c r="E18" s="10" t="s">
        <v>18</v>
      </c>
      <c r="F18" s="10" t="s">
        <v>266</v>
      </c>
      <c r="G18" s="46">
        <v>4</v>
      </c>
      <c r="H18" s="46">
        <v>0</v>
      </c>
      <c r="I18" s="46">
        <v>4</v>
      </c>
      <c r="J18" s="46">
        <v>9</v>
      </c>
      <c r="K18" s="47">
        <v>4200</v>
      </c>
      <c r="L18" s="47">
        <v>0</v>
      </c>
      <c r="M18" s="47">
        <v>4200</v>
      </c>
      <c r="N18" s="10" t="s">
        <v>101</v>
      </c>
      <c r="O18" s="10" t="s">
        <v>115</v>
      </c>
      <c r="P18" s="46">
        <v>20</v>
      </c>
    </row>
    <row r="19" spans="1:16" x14ac:dyDescent="0.25">
      <c r="A19" s="10" t="s">
        <v>203</v>
      </c>
      <c r="B19" s="10" t="s">
        <v>537</v>
      </c>
      <c r="C19" s="10" t="s">
        <v>538</v>
      </c>
      <c r="D19" s="10" t="s">
        <v>238</v>
      </c>
      <c r="E19" s="10" t="s">
        <v>18</v>
      </c>
      <c r="F19" s="10" t="s">
        <v>266</v>
      </c>
      <c r="G19" s="46">
        <v>1</v>
      </c>
      <c r="H19" s="46">
        <v>0</v>
      </c>
      <c r="I19" s="46">
        <v>1</v>
      </c>
      <c r="J19" s="46">
        <v>1</v>
      </c>
      <c r="K19" s="47">
        <v>0</v>
      </c>
      <c r="L19" s="47">
        <v>0</v>
      </c>
      <c r="M19" s="47">
        <v>0</v>
      </c>
      <c r="N19" s="10" t="s">
        <v>137</v>
      </c>
      <c r="O19" s="10" t="s">
        <v>137</v>
      </c>
      <c r="P19" s="46">
        <v>22</v>
      </c>
    </row>
    <row r="20" spans="1:16" x14ac:dyDescent="0.25">
      <c r="A20" s="10" t="s">
        <v>107</v>
      </c>
      <c r="B20" s="10" t="s">
        <v>539</v>
      </c>
      <c r="C20" s="10" t="s">
        <v>540</v>
      </c>
      <c r="D20" s="10" t="s">
        <v>238</v>
      </c>
      <c r="E20" s="10" t="s">
        <v>18</v>
      </c>
      <c r="F20" s="10" t="s">
        <v>266</v>
      </c>
      <c r="G20" s="46">
        <v>4</v>
      </c>
      <c r="H20" s="46">
        <v>0</v>
      </c>
      <c r="I20" s="46">
        <v>4</v>
      </c>
      <c r="J20" s="46">
        <v>8</v>
      </c>
      <c r="K20" s="47">
        <v>3725</v>
      </c>
      <c r="L20" s="47">
        <v>3725</v>
      </c>
      <c r="M20" s="47">
        <v>0</v>
      </c>
      <c r="N20" s="10" t="s">
        <v>155</v>
      </c>
      <c r="O20" s="10" t="s">
        <v>137</v>
      </c>
      <c r="P20" s="46">
        <v>22</v>
      </c>
    </row>
    <row r="21" spans="1:16" x14ac:dyDescent="0.25">
      <c r="A21" s="10" t="s">
        <v>75</v>
      </c>
      <c r="B21" s="10" t="s">
        <v>541</v>
      </c>
      <c r="C21" s="10" t="s">
        <v>542</v>
      </c>
      <c r="D21" s="10" t="s">
        <v>227</v>
      </c>
      <c r="E21" s="10" t="s">
        <v>17</v>
      </c>
      <c r="F21" s="10" t="s">
        <v>266</v>
      </c>
      <c r="G21" s="46">
        <v>7</v>
      </c>
      <c r="H21" s="46">
        <v>0</v>
      </c>
      <c r="I21" s="46">
        <v>7</v>
      </c>
      <c r="J21" s="46">
        <v>35</v>
      </c>
      <c r="K21" s="47">
        <v>14400</v>
      </c>
      <c r="L21" s="47">
        <v>9600</v>
      </c>
      <c r="M21" s="47">
        <v>4800</v>
      </c>
      <c r="N21" s="10" t="s">
        <v>230</v>
      </c>
      <c r="O21" s="10" t="s">
        <v>137</v>
      </c>
      <c r="P21" s="46">
        <v>22</v>
      </c>
    </row>
    <row r="22" spans="1:16" x14ac:dyDescent="0.25">
      <c r="A22" s="10" t="s">
        <v>144</v>
      </c>
      <c r="B22" s="10" t="s">
        <v>543</v>
      </c>
      <c r="C22" s="10" t="s">
        <v>544</v>
      </c>
      <c r="D22" s="10" t="s">
        <v>271</v>
      </c>
      <c r="E22" s="10" t="s">
        <v>17</v>
      </c>
      <c r="F22" s="10" t="s">
        <v>266</v>
      </c>
      <c r="G22" s="46">
        <v>2</v>
      </c>
      <c r="H22" s="46">
        <v>0</v>
      </c>
      <c r="I22" s="46">
        <v>2</v>
      </c>
      <c r="J22" s="46">
        <v>4</v>
      </c>
      <c r="K22" s="47">
        <v>3295</v>
      </c>
      <c r="L22" s="47">
        <v>3295</v>
      </c>
      <c r="M22" s="47">
        <v>0</v>
      </c>
      <c r="N22" s="10" t="s">
        <v>141</v>
      </c>
      <c r="O22" s="10" t="s">
        <v>145</v>
      </c>
      <c r="P22" s="46">
        <v>23</v>
      </c>
    </row>
    <row r="23" spans="1:16" x14ac:dyDescent="0.25">
      <c r="A23" s="10" t="s">
        <v>168</v>
      </c>
      <c r="B23" s="10" t="s">
        <v>545</v>
      </c>
      <c r="C23" s="10" t="s">
        <v>546</v>
      </c>
      <c r="D23" s="10" t="s">
        <v>249</v>
      </c>
      <c r="E23" s="10" t="s">
        <v>17</v>
      </c>
      <c r="F23" s="10" t="s">
        <v>266</v>
      </c>
      <c r="G23" s="46">
        <v>1</v>
      </c>
      <c r="H23" s="46">
        <v>0</v>
      </c>
      <c r="I23" s="46">
        <v>1</v>
      </c>
      <c r="J23" s="46">
        <v>1</v>
      </c>
      <c r="K23" s="47">
        <v>675</v>
      </c>
      <c r="L23" s="47">
        <v>675</v>
      </c>
      <c r="M23" s="47">
        <v>0</v>
      </c>
      <c r="N23" s="10" t="s">
        <v>82</v>
      </c>
      <c r="O23" s="10" t="s">
        <v>82</v>
      </c>
      <c r="P23" s="46">
        <v>29</v>
      </c>
    </row>
    <row r="24" spans="1:16" x14ac:dyDescent="0.25">
      <c r="A24" s="10" t="s">
        <v>108</v>
      </c>
      <c r="B24" s="10" t="s">
        <v>108</v>
      </c>
      <c r="C24" s="10" t="s">
        <v>547</v>
      </c>
      <c r="D24" s="10" t="s">
        <v>227</v>
      </c>
      <c r="E24" s="10" t="s">
        <v>17</v>
      </c>
      <c r="F24" s="10" t="s">
        <v>266</v>
      </c>
      <c r="G24" s="46">
        <v>4</v>
      </c>
      <c r="H24" s="46">
        <v>0</v>
      </c>
      <c r="I24" s="46">
        <v>4</v>
      </c>
      <c r="J24" s="46">
        <v>12</v>
      </c>
      <c r="K24" s="47">
        <v>7335</v>
      </c>
      <c r="L24" s="47">
        <v>7335</v>
      </c>
      <c r="M24" s="47">
        <v>0</v>
      </c>
      <c r="N24" s="10" t="s">
        <v>272</v>
      </c>
      <c r="O24" s="10" t="s">
        <v>109</v>
      </c>
      <c r="P24" s="46">
        <v>30</v>
      </c>
    </row>
    <row r="25" spans="1:16" x14ac:dyDescent="0.25">
      <c r="A25" s="10" t="s">
        <v>204</v>
      </c>
      <c r="B25" s="10" t="s">
        <v>548</v>
      </c>
      <c r="C25" s="10" t="s">
        <v>549</v>
      </c>
      <c r="D25" s="10" t="s">
        <v>227</v>
      </c>
      <c r="E25" s="10" t="s">
        <v>17</v>
      </c>
      <c r="F25" s="10" t="s">
        <v>266</v>
      </c>
      <c r="G25" s="46">
        <v>1</v>
      </c>
      <c r="H25" s="46">
        <v>0</v>
      </c>
      <c r="I25" s="46">
        <v>1</v>
      </c>
      <c r="J25" s="46">
        <v>1</v>
      </c>
      <c r="K25" s="47">
        <v>0</v>
      </c>
      <c r="L25" s="47">
        <v>0</v>
      </c>
      <c r="M25" s="47">
        <v>0</v>
      </c>
      <c r="N25" s="10" t="s">
        <v>205</v>
      </c>
      <c r="O25" s="10" t="s">
        <v>205</v>
      </c>
      <c r="P25" s="46">
        <v>31</v>
      </c>
    </row>
    <row r="26" spans="1:16" x14ac:dyDescent="0.25">
      <c r="A26" s="10" t="s">
        <v>206</v>
      </c>
      <c r="B26" s="10" t="s">
        <v>550</v>
      </c>
      <c r="C26" s="10" t="s">
        <v>551</v>
      </c>
      <c r="D26" s="10" t="s">
        <v>296</v>
      </c>
      <c r="E26" s="10" t="s">
        <v>18</v>
      </c>
      <c r="F26" s="10" t="s">
        <v>266</v>
      </c>
      <c r="G26" s="46">
        <v>1</v>
      </c>
      <c r="H26" s="46">
        <v>0</v>
      </c>
      <c r="I26" s="46">
        <v>1</v>
      </c>
      <c r="J26" s="46">
        <v>1</v>
      </c>
      <c r="K26" s="47">
        <v>0</v>
      </c>
      <c r="L26" s="47">
        <v>0</v>
      </c>
      <c r="M26" s="47">
        <v>0</v>
      </c>
      <c r="N26" s="10" t="s">
        <v>65</v>
      </c>
      <c r="O26" s="10" t="s">
        <v>65</v>
      </c>
      <c r="P26" s="46">
        <v>34</v>
      </c>
    </row>
    <row r="27" spans="1:16" x14ac:dyDescent="0.25">
      <c r="A27" s="10" t="s">
        <v>120</v>
      </c>
      <c r="B27" s="10" t="s">
        <v>552</v>
      </c>
      <c r="C27" s="10" t="s">
        <v>553</v>
      </c>
      <c r="D27" s="10" t="s">
        <v>227</v>
      </c>
      <c r="E27" s="10" t="s">
        <v>17</v>
      </c>
      <c r="F27" s="10" t="s">
        <v>266</v>
      </c>
      <c r="G27" s="46">
        <v>4</v>
      </c>
      <c r="H27" s="46">
        <v>0</v>
      </c>
      <c r="I27" s="46">
        <v>4</v>
      </c>
      <c r="J27" s="46">
        <v>7</v>
      </c>
      <c r="K27" s="47">
        <v>6080</v>
      </c>
      <c r="L27" s="47">
        <v>4880</v>
      </c>
      <c r="M27" s="47">
        <v>1200</v>
      </c>
      <c r="N27" s="10" t="s">
        <v>267</v>
      </c>
      <c r="O27" s="10" t="s">
        <v>71</v>
      </c>
      <c r="P27" s="46">
        <v>35</v>
      </c>
    </row>
    <row r="28" spans="1:16" x14ac:dyDescent="0.25">
      <c r="A28" s="10" t="s">
        <v>117</v>
      </c>
      <c r="B28" s="10" t="s">
        <v>117</v>
      </c>
      <c r="C28" s="10" t="s">
        <v>554</v>
      </c>
      <c r="D28" s="10" t="s">
        <v>241</v>
      </c>
      <c r="E28" s="10" t="s">
        <v>17</v>
      </c>
      <c r="F28" s="10" t="s">
        <v>266</v>
      </c>
      <c r="G28" s="46">
        <v>5</v>
      </c>
      <c r="H28" s="46">
        <v>0</v>
      </c>
      <c r="I28" s="46">
        <v>5</v>
      </c>
      <c r="J28" s="46">
        <v>13</v>
      </c>
      <c r="K28" s="47">
        <v>6075</v>
      </c>
      <c r="L28" s="47">
        <v>5475</v>
      </c>
      <c r="M28" s="47">
        <v>600</v>
      </c>
      <c r="N28" s="10" t="s">
        <v>189</v>
      </c>
      <c r="O28" s="10" t="s">
        <v>71</v>
      </c>
      <c r="P28" s="46">
        <v>35</v>
      </c>
    </row>
    <row r="29" spans="1:16" x14ac:dyDescent="0.25">
      <c r="A29" s="10" t="s">
        <v>207</v>
      </c>
      <c r="B29" s="10" t="s">
        <v>555</v>
      </c>
      <c r="C29" s="10" t="s">
        <v>556</v>
      </c>
      <c r="D29" s="10" t="s">
        <v>271</v>
      </c>
      <c r="E29" s="10" t="s">
        <v>17</v>
      </c>
      <c r="F29" s="10" t="s">
        <v>266</v>
      </c>
      <c r="G29" s="46">
        <v>1</v>
      </c>
      <c r="H29" s="46">
        <v>0</v>
      </c>
      <c r="I29" s="46">
        <v>1</v>
      </c>
      <c r="J29" s="46">
        <v>1</v>
      </c>
      <c r="K29" s="47">
        <v>0</v>
      </c>
      <c r="L29" s="47">
        <v>0</v>
      </c>
      <c r="M29" s="47">
        <v>0</v>
      </c>
      <c r="N29" s="10" t="s">
        <v>80</v>
      </c>
      <c r="O29" s="10" t="s">
        <v>80</v>
      </c>
      <c r="P29" s="46">
        <v>37</v>
      </c>
    </row>
    <row r="30" spans="1:16" x14ac:dyDescent="0.25">
      <c r="A30" s="10" t="s">
        <v>169</v>
      </c>
      <c r="B30" s="10" t="s">
        <v>557</v>
      </c>
      <c r="C30" s="10" t="s">
        <v>558</v>
      </c>
      <c r="D30" s="10" t="s">
        <v>238</v>
      </c>
      <c r="E30" s="10" t="s">
        <v>18</v>
      </c>
      <c r="F30" s="10" t="s">
        <v>266</v>
      </c>
      <c r="G30" s="46">
        <v>2</v>
      </c>
      <c r="H30" s="46">
        <v>0</v>
      </c>
      <c r="I30" s="46">
        <v>2</v>
      </c>
      <c r="J30" s="46">
        <v>2</v>
      </c>
      <c r="K30" s="47">
        <v>600</v>
      </c>
      <c r="L30" s="47">
        <v>600</v>
      </c>
      <c r="M30" s="47">
        <v>0</v>
      </c>
      <c r="N30" s="10" t="s">
        <v>191</v>
      </c>
      <c r="O30" s="10" t="s">
        <v>170</v>
      </c>
      <c r="P30" s="46">
        <v>38</v>
      </c>
    </row>
    <row r="31" spans="1:16" x14ac:dyDescent="0.25">
      <c r="A31" s="10" t="s">
        <v>81</v>
      </c>
      <c r="B31" s="10" t="s">
        <v>81</v>
      </c>
      <c r="C31" s="10" t="s">
        <v>559</v>
      </c>
      <c r="D31" s="10" t="s">
        <v>293</v>
      </c>
      <c r="E31" s="10" t="s">
        <v>18</v>
      </c>
      <c r="F31" s="10" t="s">
        <v>266</v>
      </c>
      <c r="G31" s="46">
        <v>4</v>
      </c>
      <c r="H31" s="46">
        <v>0</v>
      </c>
      <c r="I31" s="46">
        <v>2</v>
      </c>
      <c r="J31" s="46">
        <v>23</v>
      </c>
      <c r="K31" s="47">
        <v>12600</v>
      </c>
      <c r="L31" s="47">
        <v>9600</v>
      </c>
      <c r="M31" s="47">
        <v>3000</v>
      </c>
      <c r="N31" s="10" t="s">
        <v>297</v>
      </c>
      <c r="O31" s="10" t="s">
        <v>61</v>
      </c>
      <c r="P31" s="46">
        <v>41</v>
      </c>
    </row>
    <row r="32" spans="1:16" x14ac:dyDescent="0.25">
      <c r="A32" s="10" t="s">
        <v>143</v>
      </c>
      <c r="B32" s="10" t="s">
        <v>560</v>
      </c>
      <c r="C32" s="10" t="s">
        <v>561</v>
      </c>
      <c r="D32" s="10" t="s">
        <v>227</v>
      </c>
      <c r="E32" s="10" t="s">
        <v>17</v>
      </c>
      <c r="F32" s="10" t="s">
        <v>266</v>
      </c>
      <c r="G32" s="46">
        <v>4</v>
      </c>
      <c r="H32" s="46">
        <v>0</v>
      </c>
      <c r="I32" s="46">
        <v>4</v>
      </c>
      <c r="J32" s="46">
        <v>5</v>
      </c>
      <c r="K32" s="47">
        <v>2500</v>
      </c>
      <c r="L32" s="47">
        <v>2500</v>
      </c>
      <c r="M32" s="47">
        <v>0</v>
      </c>
      <c r="N32" s="10" t="s">
        <v>125</v>
      </c>
      <c r="O32" s="10" t="s">
        <v>61</v>
      </c>
      <c r="P32" s="46">
        <v>41</v>
      </c>
    </row>
    <row r="33" spans="1:16" x14ac:dyDescent="0.25">
      <c r="A33" s="10" t="s">
        <v>60</v>
      </c>
      <c r="B33" s="10" t="s">
        <v>60</v>
      </c>
      <c r="C33" s="10" t="s">
        <v>562</v>
      </c>
      <c r="D33" s="10" t="s">
        <v>226</v>
      </c>
      <c r="E33" s="10" t="s">
        <v>17</v>
      </c>
      <c r="F33" s="10" t="s">
        <v>266</v>
      </c>
      <c r="G33" s="46">
        <v>8</v>
      </c>
      <c r="H33" s="46">
        <v>0</v>
      </c>
      <c r="I33" s="46">
        <v>6</v>
      </c>
      <c r="J33" s="46">
        <v>64</v>
      </c>
      <c r="K33" s="47">
        <v>38630</v>
      </c>
      <c r="L33" s="47">
        <v>38630</v>
      </c>
      <c r="M33" s="47">
        <v>0</v>
      </c>
      <c r="N33" s="10" t="s">
        <v>151</v>
      </c>
      <c r="O33" s="10" t="s">
        <v>61</v>
      </c>
      <c r="P33" s="46">
        <v>41</v>
      </c>
    </row>
    <row r="34" spans="1:16" x14ac:dyDescent="0.25">
      <c r="A34" s="10" t="s">
        <v>118</v>
      </c>
      <c r="B34" s="10" t="s">
        <v>118</v>
      </c>
      <c r="C34" s="10" t="s">
        <v>563</v>
      </c>
      <c r="D34" s="10" t="s">
        <v>248</v>
      </c>
      <c r="E34" s="10" t="s">
        <v>18</v>
      </c>
      <c r="F34" s="10" t="s">
        <v>266</v>
      </c>
      <c r="G34" s="46">
        <v>4</v>
      </c>
      <c r="H34" s="46">
        <v>0</v>
      </c>
      <c r="I34" s="46">
        <v>3</v>
      </c>
      <c r="J34" s="46">
        <v>17</v>
      </c>
      <c r="K34" s="47">
        <v>6465</v>
      </c>
      <c r="L34" s="47">
        <v>1665</v>
      </c>
      <c r="M34" s="47">
        <v>4800</v>
      </c>
      <c r="N34" s="10" t="s">
        <v>298</v>
      </c>
      <c r="O34" s="10" t="s">
        <v>90</v>
      </c>
      <c r="P34" s="46">
        <v>42</v>
      </c>
    </row>
    <row r="35" spans="1:16" x14ac:dyDescent="0.25">
      <c r="A35" s="10" t="s">
        <v>86</v>
      </c>
      <c r="B35" s="10" t="s">
        <v>86</v>
      </c>
      <c r="C35" s="10" t="s">
        <v>564</v>
      </c>
      <c r="D35" s="10" t="s">
        <v>293</v>
      </c>
      <c r="E35" s="10" t="s">
        <v>18</v>
      </c>
      <c r="F35" s="10" t="s">
        <v>266</v>
      </c>
      <c r="G35" s="46">
        <v>11</v>
      </c>
      <c r="H35" s="46">
        <v>0</v>
      </c>
      <c r="I35" s="46">
        <v>5</v>
      </c>
      <c r="J35" s="46">
        <v>25</v>
      </c>
      <c r="K35" s="47">
        <v>15330</v>
      </c>
      <c r="L35" s="47">
        <v>12330</v>
      </c>
      <c r="M35" s="47">
        <v>3000</v>
      </c>
      <c r="N35" s="10" t="s">
        <v>299</v>
      </c>
      <c r="O35" s="10" t="s">
        <v>87</v>
      </c>
      <c r="P35" s="46">
        <v>43</v>
      </c>
    </row>
    <row r="36" spans="1:16" x14ac:dyDescent="0.25">
      <c r="A36" s="10" t="s">
        <v>157</v>
      </c>
      <c r="B36" s="10" t="s">
        <v>565</v>
      </c>
      <c r="C36" s="10" t="s">
        <v>566</v>
      </c>
      <c r="D36" s="10" t="s">
        <v>245</v>
      </c>
      <c r="E36" s="10" t="s">
        <v>18</v>
      </c>
      <c r="F36" s="10" t="s">
        <v>266</v>
      </c>
      <c r="G36" s="46">
        <v>2</v>
      </c>
      <c r="H36" s="46">
        <v>0</v>
      </c>
      <c r="I36" s="46">
        <v>2</v>
      </c>
      <c r="J36" s="46">
        <v>2</v>
      </c>
      <c r="K36" s="47">
        <v>1275</v>
      </c>
      <c r="L36" s="47">
        <v>1275</v>
      </c>
      <c r="M36" s="47">
        <v>0</v>
      </c>
      <c r="N36" s="10" t="s">
        <v>189</v>
      </c>
      <c r="O36" s="10" t="s">
        <v>158</v>
      </c>
      <c r="P36" s="46">
        <v>44</v>
      </c>
    </row>
    <row r="37" spans="1:16" x14ac:dyDescent="0.25">
      <c r="A37" s="10" t="s">
        <v>172</v>
      </c>
      <c r="B37" s="10" t="s">
        <v>567</v>
      </c>
      <c r="C37" s="10" t="s">
        <v>568</v>
      </c>
      <c r="D37" s="10" t="s">
        <v>300</v>
      </c>
      <c r="E37" s="10" t="s">
        <v>18</v>
      </c>
      <c r="F37" s="10" t="s">
        <v>266</v>
      </c>
      <c r="G37" s="46">
        <v>1</v>
      </c>
      <c r="H37" s="46">
        <v>0</v>
      </c>
      <c r="I37" s="46">
        <v>1</v>
      </c>
      <c r="J37" s="46">
        <v>1</v>
      </c>
      <c r="K37" s="47">
        <v>600</v>
      </c>
      <c r="L37" s="47">
        <v>0</v>
      </c>
      <c r="M37" s="47">
        <v>600</v>
      </c>
      <c r="N37" s="10" t="s">
        <v>131</v>
      </c>
      <c r="O37" s="10" t="s">
        <v>131</v>
      </c>
      <c r="P37" s="46">
        <v>45</v>
      </c>
    </row>
    <row r="38" spans="1:16" x14ac:dyDescent="0.25">
      <c r="A38" s="10" t="s">
        <v>88</v>
      </c>
      <c r="B38" s="10" t="s">
        <v>569</v>
      </c>
      <c r="C38" s="10" t="s">
        <v>570</v>
      </c>
      <c r="D38" s="10" t="s">
        <v>233</v>
      </c>
      <c r="E38" s="10" t="s">
        <v>17</v>
      </c>
      <c r="F38" s="10" t="s">
        <v>266</v>
      </c>
      <c r="G38" s="46">
        <v>8</v>
      </c>
      <c r="H38" s="46">
        <v>0</v>
      </c>
      <c r="I38" s="46">
        <v>8</v>
      </c>
      <c r="J38" s="46">
        <v>22</v>
      </c>
      <c r="K38" s="47">
        <v>10800</v>
      </c>
      <c r="L38" s="47">
        <v>10800</v>
      </c>
      <c r="M38" s="47">
        <v>0</v>
      </c>
      <c r="N38" s="10" t="s">
        <v>234</v>
      </c>
      <c r="O38" s="10" t="s">
        <v>89</v>
      </c>
      <c r="P38" s="46">
        <v>48</v>
      </c>
    </row>
    <row r="39" spans="1:16" x14ac:dyDescent="0.25">
      <c r="A39" s="10" t="s">
        <v>208</v>
      </c>
      <c r="B39" s="10" t="s">
        <v>571</v>
      </c>
      <c r="C39" s="10" t="s">
        <v>572</v>
      </c>
      <c r="D39" s="10" t="s">
        <v>248</v>
      </c>
      <c r="E39" s="10" t="s">
        <v>18</v>
      </c>
      <c r="F39" s="10" t="s">
        <v>266</v>
      </c>
      <c r="G39" s="46">
        <v>1</v>
      </c>
      <c r="H39" s="46">
        <v>0</v>
      </c>
      <c r="I39" s="46">
        <v>1</v>
      </c>
      <c r="J39" s="46">
        <v>1</v>
      </c>
      <c r="K39" s="47">
        <v>0</v>
      </c>
      <c r="L39" s="47">
        <v>0</v>
      </c>
      <c r="M39" s="47">
        <v>0</v>
      </c>
      <c r="N39" s="10" t="s">
        <v>89</v>
      </c>
      <c r="O39" s="10" t="s">
        <v>89</v>
      </c>
      <c r="P39" s="46">
        <v>48</v>
      </c>
    </row>
    <row r="40" spans="1:16" x14ac:dyDescent="0.25">
      <c r="A40" s="10" t="s">
        <v>78</v>
      </c>
      <c r="B40" s="10" t="s">
        <v>573</v>
      </c>
      <c r="C40" s="10" t="s">
        <v>574</v>
      </c>
      <c r="D40" s="10" t="s">
        <v>227</v>
      </c>
      <c r="E40" s="10" t="s">
        <v>17</v>
      </c>
      <c r="F40" s="10" t="s">
        <v>266</v>
      </c>
      <c r="G40" s="46">
        <v>6</v>
      </c>
      <c r="H40" s="46">
        <v>0</v>
      </c>
      <c r="I40" s="46">
        <v>6</v>
      </c>
      <c r="J40" s="46">
        <v>24</v>
      </c>
      <c r="K40" s="47">
        <v>12700</v>
      </c>
      <c r="L40" s="47">
        <v>12700</v>
      </c>
      <c r="M40" s="47">
        <v>0</v>
      </c>
      <c r="N40" s="10" t="s">
        <v>151</v>
      </c>
      <c r="O40" s="10" t="s">
        <v>79</v>
      </c>
      <c r="P40" s="46">
        <v>50</v>
      </c>
    </row>
    <row r="41" spans="1:16" x14ac:dyDescent="0.25">
      <c r="A41" s="10" t="s">
        <v>146</v>
      </c>
      <c r="B41" s="10" t="s">
        <v>575</v>
      </c>
      <c r="C41" s="10" t="s">
        <v>576</v>
      </c>
      <c r="D41" s="10" t="s">
        <v>238</v>
      </c>
      <c r="E41" s="10" t="s">
        <v>18</v>
      </c>
      <c r="F41" s="10" t="s">
        <v>266</v>
      </c>
      <c r="G41" s="46">
        <v>3</v>
      </c>
      <c r="H41" s="46">
        <v>0</v>
      </c>
      <c r="I41" s="46">
        <v>3</v>
      </c>
      <c r="J41" s="46">
        <v>5</v>
      </c>
      <c r="K41" s="47">
        <v>2400</v>
      </c>
      <c r="L41" s="47">
        <v>2400</v>
      </c>
      <c r="M41" s="47">
        <v>0</v>
      </c>
      <c r="N41" s="10" t="s">
        <v>301</v>
      </c>
      <c r="O41" s="10" t="s">
        <v>79</v>
      </c>
      <c r="P41" s="46">
        <v>50</v>
      </c>
    </row>
    <row r="42" spans="1:16" x14ac:dyDescent="0.25">
      <c r="A42" s="10" t="s">
        <v>100</v>
      </c>
      <c r="B42" s="10" t="s">
        <v>577</v>
      </c>
      <c r="C42" s="10" t="s">
        <v>578</v>
      </c>
      <c r="D42" s="10" t="s">
        <v>227</v>
      </c>
      <c r="E42" s="10" t="s">
        <v>17</v>
      </c>
      <c r="F42" s="10" t="s">
        <v>266</v>
      </c>
      <c r="G42" s="46">
        <v>4</v>
      </c>
      <c r="H42" s="46">
        <v>0</v>
      </c>
      <c r="I42" s="46">
        <v>4</v>
      </c>
      <c r="J42" s="46">
        <v>18</v>
      </c>
      <c r="K42" s="47">
        <v>9600</v>
      </c>
      <c r="L42" s="47">
        <v>9600</v>
      </c>
      <c r="M42" s="47">
        <v>0</v>
      </c>
      <c r="N42" s="10" t="s">
        <v>95</v>
      </c>
      <c r="O42" s="10" t="s">
        <v>101</v>
      </c>
      <c r="P42" s="46">
        <v>51</v>
      </c>
    </row>
    <row r="43" spans="1:16" x14ac:dyDescent="0.25">
      <c r="A43" s="10" t="s">
        <v>209</v>
      </c>
      <c r="B43" s="10" t="s">
        <v>579</v>
      </c>
      <c r="C43" s="10" t="s">
        <v>580</v>
      </c>
      <c r="D43" s="10" t="s">
        <v>233</v>
      </c>
      <c r="E43" s="10" t="s">
        <v>17</v>
      </c>
      <c r="F43" s="10" t="s">
        <v>266</v>
      </c>
      <c r="G43" s="46">
        <v>2</v>
      </c>
      <c r="H43" s="46">
        <v>0</v>
      </c>
      <c r="I43" s="46">
        <v>2</v>
      </c>
      <c r="J43" s="46">
        <v>2</v>
      </c>
      <c r="K43" s="47">
        <v>0</v>
      </c>
      <c r="L43" s="47">
        <v>0</v>
      </c>
      <c r="M43" s="47">
        <v>0</v>
      </c>
      <c r="N43" s="10" t="s">
        <v>116</v>
      </c>
      <c r="O43" s="10" t="s">
        <v>99</v>
      </c>
      <c r="P43" s="46">
        <v>52</v>
      </c>
    </row>
    <row r="44" spans="1:16" x14ac:dyDescent="0.25">
      <c r="A44" s="10" t="s">
        <v>66</v>
      </c>
      <c r="B44" s="10" t="s">
        <v>581</v>
      </c>
      <c r="C44" s="10" t="s">
        <v>582</v>
      </c>
      <c r="D44" s="10" t="s">
        <v>227</v>
      </c>
      <c r="E44" s="10" t="s">
        <v>17</v>
      </c>
      <c r="F44" s="10" t="s">
        <v>266</v>
      </c>
      <c r="G44" s="46">
        <v>6</v>
      </c>
      <c r="H44" s="46">
        <v>0</v>
      </c>
      <c r="I44" s="46">
        <v>6</v>
      </c>
      <c r="J44" s="46">
        <v>43</v>
      </c>
      <c r="K44" s="47">
        <v>25050</v>
      </c>
      <c r="L44" s="47">
        <v>25050</v>
      </c>
      <c r="M44" s="47">
        <v>0</v>
      </c>
      <c r="N44" s="10" t="s">
        <v>151</v>
      </c>
      <c r="O44" s="10" t="s">
        <v>99</v>
      </c>
      <c r="P44" s="46">
        <v>52</v>
      </c>
    </row>
    <row r="45" spans="1:16" x14ac:dyDescent="0.25">
      <c r="A45" s="10" t="s">
        <v>122</v>
      </c>
      <c r="B45" s="10" t="s">
        <v>583</v>
      </c>
      <c r="C45" s="10" t="s">
        <v>584</v>
      </c>
      <c r="D45" s="10" t="s">
        <v>227</v>
      </c>
      <c r="E45" s="10" t="s">
        <v>17</v>
      </c>
      <c r="F45" s="10" t="s">
        <v>266</v>
      </c>
      <c r="G45" s="46">
        <v>3</v>
      </c>
      <c r="H45" s="46">
        <v>0</v>
      </c>
      <c r="I45" s="46">
        <v>3</v>
      </c>
      <c r="J45" s="46">
        <v>12</v>
      </c>
      <c r="K45" s="47">
        <v>5500</v>
      </c>
      <c r="L45" s="47">
        <v>5500</v>
      </c>
      <c r="M45" s="47">
        <v>0</v>
      </c>
      <c r="N45" s="10" t="s">
        <v>273</v>
      </c>
      <c r="O45" s="10" t="s">
        <v>99</v>
      </c>
      <c r="P45" s="46">
        <v>52</v>
      </c>
    </row>
    <row r="46" spans="1:16" x14ac:dyDescent="0.25">
      <c r="A46" s="10" t="s">
        <v>173</v>
      </c>
      <c r="B46" s="10" t="s">
        <v>173</v>
      </c>
      <c r="C46" s="10" t="s">
        <v>585</v>
      </c>
      <c r="D46" s="10" t="s">
        <v>274</v>
      </c>
      <c r="E46" s="10" t="s">
        <v>17</v>
      </c>
      <c r="F46" s="10" t="s">
        <v>266</v>
      </c>
      <c r="G46" s="46">
        <v>1</v>
      </c>
      <c r="H46" s="46">
        <v>0</v>
      </c>
      <c r="I46" s="46">
        <v>1</v>
      </c>
      <c r="J46" s="46">
        <v>1</v>
      </c>
      <c r="K46" s="47">
        <v>600</v>
      </c>
      <c r="L46" s="47">
        <v>600</v>
      </c>
      <c r="M46" s="47">
        <v>0</v>
      </c>
      <c r="N46" s="10" t="s">
        <v>116</v>
      </c>
      <c r="O46" s="10" t="s">
        <v>116</v>
      </c>
      <c r="P46" s="46">
        <v>57</v>
      </c>
    </row>
    <row r="47" spans="1:16" x14ac:dyDescent="0.25">
      <c r="A47" s="10" t="s">
        <v>134</v>
      </c>
      <c r="B47" s="10" t="s">
        <v>586</v>
      </c>
      <c r="C47" s="10" t="s">
        <v>587</v>
      </c>
      <c r="D47" s="10" t="s">
        <v>226</v>
      </c>
      <c r="E47" s="10" t="s">
        <v>18</v>
      </c>
      <c r="F47" s="10" t="s">
        <v>266</v>
      </c>
      <c r="G47" s="46">
        <v>2</v>
      </c>
      <c r="H47" s="46">
        <v>0</v>
      </c>
      <c r="I47" s="46">
        <v>2</v>
      </c>
      <c r="J47" s="46">
        <v>10</v>
      </c>
      <c r="K47" s="47">
        <v>4800</v>
      </c>
      <c r="L47" s="47">
        <v>4800</v>
      </c>
      <c r="M47" s="47">
        <v>0</v>
      </c>
      <c r="N47" s="10" t="s">
        <v>135</v>
      </c>
      <c r="O47" s="10" t="s">
        <v>135</v>
      </c>
      <c r="P47" s="46">
        <v>58</v>
      </c>
    </row>
    <row r="48" spans="1:16" x14ac:dyDescent="0.25">
      <c r="A48" s="10" t="s">
        <v>174</v>
      </c>
      <c r="B48" s="10" t="s">
        <v>588</v>
      </c>
      <c r="C48" s="10" t="s">
        <v>589</v>
      </c>
      <c r="D48" s="10" t="s">
        <v>227</v>
      </c>
      <c r="E48" s="10" t="s">
        <v>17</v>
      </c>
      <c r="F48" s="10" t="s">
        <v>266</v>
      </c>
      <c r="G48" s="46">
        <v>1</v>
      </c>
      <c r="H48" s="46">
        <v>0</v>
      </c>
      <c r="I48" s="46">
        <v>1</v>
      </c>
      <c r="J48" s="46">
        <v>1</v>
      </c>
      <c r="K48" s="47">
        <v>600</v>
      </c>
      <c r="L48" s="47">
        <v>600</v>
      </c>
      <c r="M48" s="47">
        <v>0</v>
      </c>
      <c r="N48" s="10" t="s">
        <v>135</v>
      </c>
      <c r="O48" s="10" t="s">
        <v>135</v>
      </c>
      <c r="P48" s="46">
        <v>58</v>
      </c>
    </row>
    <row r="49" spans="1:16" x14ac:dyDescent="0.25">
      <c r="A49" s="10" t="s">
        <v>210</v>
      </c>
      <c r="B49" s="10" t="s">
        <v>590</v>
      </c>
      <c r="C49" s="10" t="s">
        <v>591</v>
      </c>
      <c r="D49" s="10" t="s">
        <v>226</v>
      </c>
      <c r="E49" s="10" t="s">
        <v>18</v>
      </c>
      <c r="F49" s="10" t="s">
        <v>266</v>
      </c>
      <c r="G49" s="46">
        <v>1</v>
      </c>
      <c r="H49" s="46">
        <v>0</v>
      </c>
      <c r="I49" s="46">
        <v>1</v>
      </c>
      <c r="J49" s="46">
        <v>2</v>
      </c>
      <c r="K49" s="47">
        <v>0</v>
      </c>
      <c r="L49" s="47">
        <v>0</v>
      </c>
      <c r="M49" s="47">
        <v>0</v>
      </c>
      <c r="N49" s="10" t="s">
        <v>135</v>
      </c>
      <c r="O49" s="10" t="s">
        <v>135</v>
      </c>
      <c r="P49" s="46">
        <v>58</v>
      </c>
    </row>
    <row r="50" spans="1:16" x14ac:dyDescent="0.25">
      <c r="A50" s="10" t="s">
        <v>136</v>
      </c>
      <c r="B50" s="10" t="s">
        <v>592</v>
      </c>
      <c r="C50" s="10" t="s">
        <v>593</v>
      </c>
      <c r="D50" s="10" t="s">
        <v>227</v>
      </c>
      <c r="E50" s="10" t="s">
        <v>17</v>
      </c>
      <c r="F50" s="10" t="s">
        <v>266</v>
      </c>
      <c r="G50" s="46">
        <v>2</v>
      </c>
      <c r="H50" s="46">
        <v>0</v>
      </c>
      <c r="I50" s="46">
        <v>2</v>
      </c>
      <c r="J50" s="46">
        <v>10</v>
      </c>
      <c r="K50" s="47">
        <v>4800</v>
      </c>
      <c r="L50" s="47">
        <v>4800</v>
      </c>
      <c r="M50" s="47">
        <v>0</v>
      </c>
      <c r="N50" s="10" t="s">
        <v>106</v>
      </c>
      <c r="O50" s="10" t="s">
        <v>106</v>
      </c>
      <c r="P50" s="46">
        <v>59</v>
      </c>
    </row>
    <row r="51" spans="1:16" x14ac:dyDescent="0.25">
      <c r="A51" s="10" t="s">
        <v>138</v>
      </c>
      <c r="B51" s="10" t="s">
        <v>594</v>
      </c>
      <c r="C51" s="10" t="s">
        <v>595</v>
      </c>
      <c r="D51" s="10" t="s">
        <v>227</v>
      </c>
      <c r="E51" s="10" t="s">
        <v>17</v>
      </c>
      <c r="F51" s="10" t="s">
        <v>266</v>
      </c>
      <c r="G51" s="46">
        <v>2</v>
      </c>
      <c r="H51" s="46">
        <v>0</v>
      </c>
      <c r="I51" s="46">
        <v>2</v>
      </c>
      <c r="J51" s="46">
        <v>10</v>
      </c>
      <c r="K51" s="47">
        <v>4800</v>
      </c>
      <c r="L51" s="47">
        <v>4800</v>
      </c>
      <c r="M51" s="47">
        <v>0</v>
      </c>
      <c r="N51" s="10" t="s">
        <v>106</v>
      </c>
      <c r="O51" s="10" t="s">
        <v>106</v>
      </c>
      <c r="P51" s="46">
        <v>59</v>
      </c>
    </row>
    <row r="52" spans="1:16" x14ac:dyDescent="0.25">
      <c r="A52" s="10" t="s">
        <v>105</v>
      </c>
      <c r="B52" s="10" t="s">
        <v>596</v>
      </c>
      <c r="C52" s="10" t="s">
        <v>597</v>
      </c>
      <c r="D52" s="10" t="s">
        <v>233</v>
      </c>
      <c r="E52" s="10" t="s">
        <v>17</v>
      </c>
      <c r="F52" s="10" t="s">
        <v>266</v>
      </c>
      <c r="G52" s="46">
        <v>6</v>
      </c>
      <c r="H52" s="46">
        <v>0</v>
      </c>
      <c r="I52" s="46">
        <v>6</v>
      </c>
      <c r="J52" s="46">
        <v>12</v>
      </c>
      <c r="K52" s="47">
        <v>7350</v>
      </c>
      <c r="L52" s="47">
        <v>7350</v>
      </c>
      <c r="M52" s="47">
        <v>0</v>
      </c>
      <c r="N52" s="10" t="s">
        <v>125</v>
      </c>
      <c r="O52" s="10" t="s">
        <v>106</v>
      </c>
      <c r="P52" s="46">
        <v>59</v>
      </c>
    </row>
    <row r="53" spans="1:16" x14ac:dyDescent="0.25">
      <c r="A53" s="10" t="s">
        <v>211</v>
      </c>
      <c r="B53" s="10" t="s">
        <v>598</v>
      </c>
      <c r="C53" s="10" t="s">
        <v>599</v>
      </c>
      <c r="D53" s="10" t="s">
        <v>302</v>
      </c>
      <c r="E53" s="10" t="s">
        <v>18</v>
      </c>
      <c r="F53" s="10" t="s">
        <v>266</v>
      </c>
      <c r="G53" s="46">
        <v>1</v>
      </c>
      <c r="H53" s="46">
        <v>0</v>
      </c>
      <c r="I53" s="46">
        <v>1</v>
      </c>
      <c r="J53" s="46">
        <v>1</v>
      </c>
      <c r="K53" s="47">
        <v>0</v>
      </c>
      <c r="L53" s="47">
        <v>0</v>
      </c>
      <c r="M53" s="47">
        <v>0</v>
      </c>
      <c r="N53" s="10" t="s">
        <v>212</v>
      </c>
      <c r="O53" s="10" t="s">
        <v>212</v>
      </c>
      <c r="P53" s="46">
        <v>62</v>
      </c>
    </row>
    <row r="54" spans="1:16" x14ac:dyDescent="0.25">
      <c r="A54" s="10" t="s">
        <v>128</v>
      </c>
      <c r="B54" s="10" t="s">
        <v>600</v>
      </c>
      <c r="C54" s="10" t="s">
        <v>601</v>
      </c>
      <c r="D54" s="10" t="s">
        <v>226</v>
      </c>
      <c r="E54" s="10" t="s">
        <v>18</v>
      </c>
      <c r="F54" s="10" t="s">
        <v>266</v>
      </c>
      <c r="G54" s="46">
        <v>3</v>
      </c>
      <c r="H54" s="46">
        <v>0</v>
      </c>
      <c r="I54" s="46">
        <v>3</v>
      </c>
      <c r="J54" s="46">
        <v>11</v>
      </c>
      <c r="K54" s="47">
        <v>5400</v>
      </c>
      <c r="L54" s="47">
        <v>5400</v>
      </c>
      <c r="M54" s="47">
        <v>0</v>
      </c>
      <c r="N54" s="10" t="s">
        <v>301</v>
      </c>
      <c r="O54" s="10" t="s">
        <v>129</v>
      </c>
      <c r="P54" s="46">
        <v>67</v>
      </c>
    </row>
    <row r="55" spans="1:16" x14ac:dyDescent="0.25">
      <c r="A55" s="10" t="s">
        <v>163</v>
      </c>
      <c r="B55" s="10" t="s">
        <v>602</v>
      </c>
      <c r="C55" s="10" t="s">
        <v>603</v>
      </c>
      <c r="D55" s="10" t="s">
        <v>242</v>
      </c>
      <c r="E55" s="10" t="s">
        <v>17</v>
      </c>
      <c r="F55" s="10" t="s">
        <v>266</v>
      </c>
      <c r="G55" s="46">
        <v>1</v>
      </c>
      <c r="H55" s="46">
        <v>0</v>
      </c>
      <c r="I55" s="46">
        <v>1</v>
      </c>
      <c r="J55" s="46">
        <v>2</v>
      </c>
      <c r="K55" s="47">
        <v>1200</v>
      </c>
      <c r="L55" s="47">
        <v>1200</v>
      </c>
      <c r="M55" s="47">
        <v>0</v>
      </c>
      <c r="N55" s="10" t="s">
        <v>154</v>
      </c>
      <c r="O55" s="10" t="s">
        <v>154</v>
      </c>
      <c r="P55" s="46">
        <v>71</v>
      </c>
    </row>
    <row r="56" spans="1:16" x14ac:dyDescent="0.25">
      <c r="A56" s="10" t="s">
        <v>153</v>
      </c>
      <c r="B56" s="10" t="s">
        <v>153</v>
      </c>
      <c r="C56" s="10" t="s">
        <v>604</v>
      </c>
      <c r="D56" s="10" t="s">
        <v>227</v>
      </c>
      <c r="E56" s="10" t="s">
        <v>17</v>
      </c>
      <c r="F56" s="10" t="s">
        <v>266</v>
      </c>
      <c r="G56" s="46">
        <v>5</v>
      </c>
      <c r="H56" s="46">
        <v>0</v>
      </c>
      <c r="I56" s="46">
        <v>2</v>
      </c>
      <c r="J56" s="46">
        <v>10</v>
      </c>
      <c r="K56" s="47">
        <v>1800</v>
      </c>
      <c r="L56" s="47">
        <v>1800</v>
      </c>
      <c r="M56" s="47">
        <v>0</v>
      </c>
      <c r="N56" s="10" t="s">
        <v>189</v>
      </c>
      <c r="O56" s="10" t="s">
        <v>154</v>
      </c>
      <c r="P56" s="46">
        <v>71</v>
      </c>
    </row>
    <row r="57" spans="1:16" x14ac:dyDescent="0.25">
      <c r="A57" s="10" t="s">
        <v>156</v>
      </c>
      <c r="B57" s="10" t="s">
        <v>156</v>
      </c>
      <c r="C57" s="10" t="s">
        <v>605</v>
      </c>
      <c r="D57" s="10" t="s">
        <v>293</v>
      </c>
      <c r="E57" s="10" t="s">
        <v>18</v>
      </c>
      <c r="F57" s="10" t="s">
        <v>266</v>
      </c>
      <c r="G57" s="46">
        <v>2</v>
      </c>
      <c r="H57" s="46">
        <v>0</v>
      </c>
      <c r="I57" s="46">
        <v>1</v>
      </c>
      <c r="J57" s="46">
        <v>6</v>
      </c>
      <c r="K57" s="47">
        <v>1800</v>
      </c>
      <c r="L57" s="47">
        <v>1800</v>
      </c>
      <c r="M57" s="47">
        <v>0</v>
      </c>
      <c r="N57" s="10" t="s">
        <v>235</v>
      </c>
      <c r="O57" s="10" t="s">
        <v>140</v>
      </c>
      <c r="P57" s="46">
        <v>72</v>
      </c>
    </row>
    <row r="58" spans="1:16" x14ac:dyDescent="0.25">
      <c r="A58" s="10" t="s">
        <v>139</v>
      </c>
      <c r="B58" s="10" t="s">
        <v>606</v>
      </c>
      <c r="C58" s="10" t="s">
        <v>607</v>
      </c>
      <c r="D58" s="10" t="s">
        <v>244</v>
      </c>
      <c r="E58" s="10" t="s">
        <v>18</v>
      </c>
      <c r="F58" s="10" t="s">
        <v>266</v>
      </c>
      <c r="G58" s="46">
        <v>2</v>
      </c>
      <c r="H58" s="46">
        <v>0</v>
      </c>
      <c r="I58" s="46">
        <v>2</v>
      </c>
      <c r="J58" s="46">
        <v>10</v>
      </c>
      <c r="K58" s="47">
        <v>4800</v>
      </c>
      <c r="L58" s="47">
        <v>4800</v>
      </c>
      <c r="M58" s="47">
        <v>0</v>
      </c>
      <c r="N58" s="10" t="s">
        <v>199</v>
      </c>
      <c r="O58" s="10" t="s">
        <v>140</v>
      </c>
      <c r="P58" s="46">
        <v>72</v>
      </c>
    </row>
    <row r="59" spans="1:16" x14ac:dyDescent="0.25">
      <c r="A59" s="10" t="s">
        <v>213</v>
      </c>
      <c r="B59" s="10" t="s">
        <v>608</v>
      </c>
      <c r="C59" s="10" t="s">
        <v>609</v>
      </c>
      <c r="D59" s="10" t="s">
        <v>275</v>
      </c>
      <c r="E59" s="10" t="s">
        <v>17</v>
      </c>
      <c r="F59" s="10" t="s">
        <v>266</v>
      </c>
      <c r="G59" s="46">
        <v>1</v>
      </c>
      <c r="H59" s="46">
        <v>0</v>
      </c>
      <c r="I59" s="46">
        <v>1</v>
      </c>
      <c r="J59" s="46">
        <v>2</v>
      </c>
      <c r="K59" s="47">
        <v>0</v>
      </c>
      <c r="L59" s="47">
        <v>0</v>
      </c>
      <c r="M59" s="47">
        <v>0</v>
      </c>
      <c r="N59" s="10" t="s">
        <v>214</v>
      </c>
      <c r="O59" s="10" t="s">
        <v>214</v>
      </c>
      <c r="P59" s="46">
        <v>73</v>
      </c>
    </row>
    <row r="60" spans="1:16" x14ac:dyDescent="0.25">
      <c r="A60" s="10" t="s">
        <v>175</v>
      </c>
      <c r="B60" s="10" t="s">
        <v>610</v>
      </c>
      <c r="C60" s="10" t="s">
        <v>611</v>
      </c>
      <c r="D60" s="10" t="s">
        <v>227</v>
      </c>
      <c r="E60" s="10" t="s">
        <v>17</v>
      </c>
      <c r="F60" s="10" t="s">
        <v>266</v>
      </c>
      <c r="G60" s="46">
        <v>1</v>
      </c>
      <c r="H60" s="46">
        <v>0</v>
      </c>
      <c r="I60" s="46">
        <v>1</v>
      </c>
      <c r="J60" s="46">
        <v>1</v>
      </c>
      <c r="K60" s="47">
        <v>600</v>
      </c>
      <c r="L60" s="47">
        <v>600</v>
      </c>
      <c r="M60" s="47">
        <v>0</v>
      </c>
      <c r="N60" s="10" t="s">
        <v>176</v>
      </c>
      <c r="O60" s="10" t="s">
        <v>176</v>
      </c>
      <c r="P60" s="46">
        <v>85</v>
      </c>
    </row>
    <row r="61" spans="1:16" x14ac:dyDescent="0.25">
      <c r="A61" s="10" t="s">
        <v>130</v>
      </c>
      <c r="B61" s="10" t="s">
        <v>612</v>
      </c>
      <c r="C61" s="10" t="s">
        <v>613</v>
      </c>
      <c r="D61" s="10" t="s">
        <v>238</v>
      </c>
      <c r="E61" s="10" t="s">
        <v>18</v>
      </c>
      <c r="F61" s="10" t="s">
        <v>276</v>
      </c>
      <c r="G61" s="46">
        <v>3</v>
      </c>
      <c r="H61" s="46">
        <v>0</v>
      </c>
      <c r="I61" s="46">
        <v>3</v>
      </c>
      <c r="J61" s="46">
        <v>9</v>
      </c>
      <c r="K61" s="47">
        <v>4800</v>
      </c>
      <c r="L61" s="47">
        <v>4800</v>
      </c>
      <c r="M61" s="47">
        <v>0</v>
      </c>
      <c r="N61" s="10" t="s">
        <v>304</v>
      </c>
      <c r="O61" s="10" t="s">
        <v>303</v>
      </c>
      <c r="P61" s="46">
        <v>91</v>
      </c>
    </row>
    <row r="62" spans="1:16" x14ac:dyDescent="0.25">
      <c r="A62" s="10" t="s">
        <v>178</v>
      </c>
      <c r="B62" s="10" t="s">
        <v>614</v>
      </c>
      <c r="C62" s="10" t="s">
        <v>615</v>
      </c>
      <c r="D62" s="10" t="s">
        <v>226</v>
      </c>
      <c r="E62" s="10" t="s">
        <v>18</v>
      </c>
      <c r="F62" s="10" t="s">
        <v>276</v>
      </c>
      <c r="G62" s="46">
        <v>3</v>
      </c>
      <c r="H62" s="46">
        <v>0</v>
      </c>
      <c r="I62" s="46">
        <v>3</v>
      </c>
      <c r="J62" s="46">
        <v>4</v>
      </c>
      <c r="K62" s="47">
        <v>600</v>
      </c>
      <c r="L62" s="47">
        <v>600</v>
      </c>
      <c r="M62" s="47">
        <v>0</v>
      </c>
      <c r="N62" s="10" t="s">
        <v>247</v>
      </c>
      <c r="O62" s="10" t="s">
        <v>179</v>
      </c>
      <c r="P62" s="46">
        <v>94</v>
      </c>
    </row>
    <row r="63" spans="1:16" x14ac:dyDescent="0.25">
      <c r="A63" s="10" t="s">
        <v>147</v>
      </c>
      <c r="B63" s="10" t="s">
        <v>616</v>
      </c>
      <c r="C63" s="10" t="s">
        <v>617</v>
      </c>
      <c r="D63" s="10" t="s">
        <v>238</v>
      </c>
      <c r="E63" s="10" t="s">
        <v>18</v>
      </c>
      <c r="F63" s="10" t="s">
        <v>276</v>
      </c>
      <c r="G63" s="46">
        <v>2</v>
      </c>
      <c r="H63" s="46">
        <v>0</v>
      </c>
      <c r="I63" s="46">
        <v>2</v>
      </c>
      <c r="J63" s="46">
        <v>5</v>
      </c>
      <c r="K63" s="47">
        <v>2400</v>
      </c>
      <c r="L63" s="47">
        <v>2400</v>
      </c>
      <c r="M63" s="47">
        <v>0</v>
      </c>
      <c r="N63" s="10" t="s">
        <v>148</v>
      </c>
      <c r="O63" s="10" t="s">
        <v>96</v>
      </c>
      <c r="P63" s="46">
        <v>107</v>
      </c>
    </row>
    <row r="64" spans="1:16" x14ac:dyDescent="0.25">
      <c r="A64" s="10" t="s">
        <v>215</v>
      </c>
      <c r="B64" s="10" t="s">
        <v>618</v>
      </c>
      <c r="C64" s="10" t="s">
        <v>619</v>
      </c>
      <c r="D64" s="10" t="s">
        <v>302</v>
      </c>
      <c r="E64" s="10" t="s">
        <v>18</v>
      </c>
      <c r="F64" s="10" t="s">
        <v>276</v>
      </c>
      <c r="G64" s="46">
        <v>1</v>
      </c>
      <c r="H64" s="46">
        <v>0</v>
      </c>
      <c r="I64" s="46">
        <v>1</v>
      </c>
      <c r="J64" s="46">
        <v>1</v>
      </c>
      <c r="K64" s="47">
        <v>0</v>
      </c>
      <c r="L64" s="47">
        <v>0</v>
      </c>
      <c r="M64" s="47">
        <v>0</v>
      </c>
      <c r="N64" s="10" t="s">
        <v>216</v>
      </c>
      <c r="O64" s="10" t="s">
        <v>216</v>
      </c>
      <c r="P64" s="46">
        <v>112</v>
      </c>
    </row>
    <row r="65" spans="1:16" x14ac:dyDescent="0.25">
      <c r="A65" s="10" t="s">
        <v>180</v>
      </c>
      <c r="B65" s="10" t="s">
        <v>620</v>
      </c>
      <c r="C65" s="10" t="s">
        <v>621</v>
      </c>
      <c r="D65" s="10" t="s">
        <v>226</v>
      </c>
      <c r="E65" s="10" t="s">
        <v>18</v>
      </c>
      <c r="F65" s="10" t="s">
        <v>276</v>
      </c>
      <c r="G65" s="46">
        <v>2</v>
      </c>
      <c r="H65" s="46">
        <v>0</v>
      </c>
      <c r="I65" s="46">
        <v>2</v>
      </c>
      <c r="J65" s="46">
        <v>2</v>
      </c>
      <c r="K65" s="47">
        <v>600</v>
      </c>
      <c r="L65" s="47">
        <v>600</v>
      </c>
      <c r="M65" s="47">
        <v>0</v>
      </c>
      <c r="N65" s="10" t="s">
        <v>92</v>
      </c>
      <c r="O65" s="10" t="s">
        <v>181</v>
      </c>
      <c r="P65" s="46">
        <v>118</v>
      </c>
    </row>
    <row r="66" spans="1:16" x14ac:dyDescent="0.25">
      <c r="A66" s="10" t="s">
        <v>91</v>
      </c>
      <c r="B66" s="10" t="s">
        <v>622</v>
      </c>
      <c r="C66" s="10" t="s">
        <v>623</v>
      </c>
      <c r="D66" s="10" t="s">
        <v>226</v>
      </c>
      <c r="E66" s="10" t="s">
        <v>18</v>
      </c>
      <c r="F66" s="10" t="s">
        <v>276</v>
      </c>
      <c r="G66" s="46">
        <v>4</v>
      </c>
      <c r="H66" s="46">
        <v>0</v>
      </c>
      <c r="I66" s="46">
        <v>2</v>
      </c>
      <c r="J66" s="46">
        <v>17</v>
      </c>
      <c r="K66" s="47">
        <v>10200</v>
      </c>
      <c r="L66" s="47">
        <v>10200</v>
      </c>
      <c r="M66" s="47">
        <v>0</v>
      </c>
      <c r="N66" s="10" t="s">
        <v>235</v>
      </c>
      <c r="O66" s="10" t="s">
        <v>92</v>
      </c>
      <c r="P66" s="46">
        <v>128</v>
      </c>
    </row>
    <row r="67" spans="1:16" x14ac:dyDescent="0.25">
      <c r="A67" s="10" t="s">
        <v>164</v>
      </c>
      <c r="B67" s="10" t="s">
        <v>624</v>
      </c>
      <c r="C67" s="10" t="s">
        <v>625</v>
      </c>
      <c r="D67" s="10" t="s">
        <v>246</v>
      </c>
      <c r="E67" s="10" t="s">
        <v>18</v>
      </c>
      <c r="F67" s="10" t="s">
        <v>276</v>
      </c>
      <c r="G67" s="46">
        <v>1</v>
      </c>
      <c r="H67" s="46">
        <v>0</v>
      </c>
      <c r="I67" s="46">
        <v>1</v>
      </c>
      <c r="J67" s="46">
        <v>2</v>
      </c>
      <c r="K67" s="47">
        <v>1200</v>
      </c>
      <c r="L67" s="47">
        <v>1200</v>
      </c>
      <c r="M67" s="47">
        <v>0</v>
      </c>
      <c r="N67" s="10" t="s">
        <v>165</v>
      </c>
      <c r="O67" s="10" t="s">
        <v>165</v>
      </c>
      <c r="P67" s="46">
        <v>134</v>
      </c>
    </row>
    <row r="68" spans="1:16" x14ac:dyDescent="0.25">
      <c r="A68" s="10" t="s">
        <v>183</v>
      </c>
      <c r="B68" s="10" t="s">
        <v>626</v>
      </c>
      <c r="C68" s="10" t="s">
        <v>627</v>
      </c>
      <c r="D68" s="10" t="s">
        <v>245</v>
      </c>
      <c r="E68" s="10" t="s">
        <v>18</v>
      </c>
      <c r="F68" s="10" t="s">
        <v>276</v>
      </c>
      <c r="G68" s="46">
        <v>1</v>
      </c>
      <c r="H68" s="46">
        <v>0</v>
      </c>
      <c r="I68" s="46">
        <v>1</v>
      </c>
      <c r="J68" s="46">
        <v>1</v>
      </c>
      <c r="K68" s="47">
        <v>600</v>
      </c>
      <c r="L68" s="47">
        <v>600</v>
      </c>
      <c r="M68" s="47">
        <v>0</v>
      </c>
      <c r="N68" s="10" t="s">
        <v>184</v>
      </c>
      <c r="O68" s="10" t="s">
        <v>184</v>
      </c>
      <c r="P68" s="46">
        <v>139</v>
      </c>
    </row>
    <row r="69" spans="1:16" x14ac:dyDescent="0.25">
      <c r="A69" s="10" t="s">
        <v>94</v>
      </c>
      <c r="B69" s="10" t="s">
        <v>628</v>
      </c>
      <c r="C69" s="10" t="s">
        <v>629</v>
      </c>
      <c r="D69" s="10" t="s">
        <v>227</v>
      </c>
      <c r="E69" s="10" t="s">
        <v>17</v>
      </c>
      <c r="F69" s="10" t="s">
        <v>276</v>
      </c>
      <c r="G69" s="46">
        <v>3</v>
      </c>
      <c r="H69" s="46">
        <v>0</v>
      </c>
      <c r="I69" s="46">
        <v>3</v>
      </c>
      <c r="J69" s="46">
        <v>18</v>
      </c>
      <c r="K69" s="47">
        <v>9800</v>
      </c>
      <c r="L69" s="47">
        <v>9800</v>
      </c>
      <c r="M69" s="47">
        <v>0</v>
      </c>
      <c r="N69" s="10" t="s">
        <v>236</v>
      </c>
      <c r="O69" s="10" t="s">
        <v>95</v>
      </c>
      <c r="P69" s="46">
        <v>140</v>
      </c>
    </row>
    <row r="70" spans="1:16" x14ac:dyDescent="0.25">
      <c r="A70" s="10" t="s">
        <v>185</v>
      </c>
      <c r="B70" s="10" t="s">
        <v>630</v>
      </c>
      <c r="C70" s="10" t="s">
        <v>631</v>
      </c>
      <c r="D70" s="10" t="s">
        <v>248</v>
      </c>
      <c r="E70" s="10" t="s">
        <v>18</v>
      </c>
      <c r="F70" s="10" t="s">
        <v>276</v>
      </c>
      <c r="G70" s="46">
        <v>1</v>
      </c>
      <c r="H70" s="46">
        <v>0</v>
      </c>
      <c r="I70" s="46">
        <v>1</v>
      </c>
      <c r="J70" s="46">
        <v>1</v>
      </c>
      <c r="K70" s="47">
        <v>600</v>
      </c>
      <c r="L70" s="47">
        <v>600</v>
      </c>
      <c r="M70" s="47">
        <v>0</v>
      </c>
      <c r="N70" s="10" t="s">
        <v>186</v>
      </c>
      <c r="O70" s="10" t="s">
        <v>186</v>
      </c>
      <c r="P70" s="46">
        <v>155</v>
      </c>
    </row>
    <row r="71" spans="1:16" x14ac:dyDescent="0.25">
      <c r="A71" s="10" t="s">
        <v>187</v>
      </c>
      <c r="B71" s="10" t="s">
        <v>632</v>
      </c>
      <c r="C71" s="10" t="s">
        <v>597</v>
      </c>
      <c r="D71" s="10" t="s">
        <v>233</v>
      </c>
      <c r="E71" s="10" t="s">
        <v>17</v>
      </c>
      <c r="F71" s="10" t="s">
        <v>276</v>
      </c>
      <c r="G71" s="46">
        <v>1</v>
      </c>
      <c r="H71" s="46">
        <v>0</v>
      </c>
      <c r="I71" s="46">
        <v>1</v>
      </c>
      <c r="J71" s="46">
        <v>1</v>
      </c>
      <c r="K71" s="47">
        <v>600</v>
      </c>
      <c r="L71" s="47">
        <v>600</v>
      </c>
      <c r="M71" s="47">
        <v>0</v>
      </c>
      <c r="N71" s="10" t="s">
        <v>188</v>
      </c>
      <c r="O71" s="10" t="s">
        <v>188</v>
      </c>
      <c r="P71" s="46">
        <v>156</v>
      </c>
    </row>
    <row r="72" spans="1:16" x14ac:dyDescent="0.25">
      <c r="A72" s="10" t="s">
        <v>200</v>
      </c>
      <c r="B72" s="10" t="s">
        <v>200</v>
      </c>
      <c r="C72" s="10" t="s">
        <v>633</v>
      </c>
      <c r="D72" s="10" t="s">
        <v>296</v>
      </c>
      <c r="E72" s="10" t="s">
        <v>18</v>
      </c>
      <c r="F72" s="10" t="s">
        <v>276</v>
      </c>
      <c r="G72" s="46">
        <v>1</v>
      </c>
      <c r="H72" s="46">
        <v>0</v>
      </c>
      <c r="I72" s="46">
        <v>1</v>
      </c>
      <c r="J72" s="46">
        <v>1</v>
      </c>
      <c r="K72" s="47">
        <v>0</v>
      </c>
      <c r="L72" s="47">
        <v>0</v>
      </c>
      <c r="M72" s="47">
        <v>0</v>
      </c>
      <c r="N72" s="10" t="s">
        <v>191</v>
      </c>
      <c r="O72" s="10" t="s">
        <v>191</v>
      </c>
      <c r="P72" s="46">
        <v>163</v>
      </c>
    </row>
    <row r="73" spans="1:16" x14ac:dyDescent="0.25">
      <c r="A73" s="10" t="s">
        <v>190</v>
      </c>
      <c r="B73" s="10" t="s">
        <v>634</v>
      </c>
      <c r="C73" s="10" t="s">
        <v>635</v>
      </c>
      <c r="D73" s="10" t="s">
        <v>249</v>
      </c>
      <c r="E73" s="10" t="s">
        <v>17</v>
      </c>
      <c r="F73" s="10" t="s">
        <v>276</v>
      </c>
      <c r="G73" s="46">
        <v>1</v>
      </c>
      <c r="H73" s="46">
        <v>0</v>
      </c>
      <c r="I73" s="46">
        <v>1</v>
      </c>
      <c r="J73" s="46">
        <v>1</v>
      </c>
      <c r="K73" s="47">
        <v>600</v>
      </c>
      <c r="L73" s="47">
        <v>600</v>
      </c>
      <c r="M73" s="47">
        <v>0</v>
      </c>
      <c r="N73" s="10" t="s">
        <v>191</v>
      </c>
      <c r="O73" s="10" t="s">
        <v>191</v>
      </c>
      <c r="P73" s="46">
        <v>163</v>
      </c>
    </row>
    <row r="74" spans="1:16" x14ac:dyDescent="0.25">
      <c r="A74" s="10" t="s">
        <v>193</v>
      </c>
      <c r="B74" s="10" t="s">
        <v>636</v>
      </c>
      <c r="C74" s="10" t="s">
        <v>637</v>
      </c>
      <c r="D74" s="10" t="s">
        <v>242</v>
      </c>
      <c r="E74" s="10" t="s">
        <v>17</v>
      </c>
      <c r="F74" s="10" t="s">
        <v>276</v>
      </c>
      <c r="G74" s="46">
        <v>1</v>
      </c>
      <c r="H74" s="46">
        <v>0</v>
      </c>
      <c r="I74" s="46">
        <v>1</v>
      </c>
      <c r="J74" s="46">
        <v>1</v>
      </c>
      <c r="K74" s="47">
        <v>600</v>
      </c>
      <c r="L74" s="47">
        <v>0</v>
      </c>
      <c r="M74" s="47">
        <v>600</v>
      </c>
      <c r="N74" s="10" t="s">
        <v>127</v>
      </c>
      <c r="O74" s="10" t="s">
        <v>127</v>
      </c>
      <c r="P74" s="46">
        <v>169</v>
      </c>
    </row>
    <row r="75" spans="1:16" x14ac:dyDescent="0.25">
      <c r="A75" s="10" t="s">
        <v>149</v>
      </c>
      <c r="B75" s="10" t="s">
        <v>616</v>
      </c>
      <c r="C75" s="10" t="s">
        <v>638</v>
      </c>
      <c r="D75" s="10" t="s">
        <v>238</v>
      </c>
      <c r="E75" s="10" t="s">
        <v>18</v>
      </c>
      <c r="F75" s="10" t="s">
        <v>276</v>
      </c>
      <c r="G75" s="46">
        <v>1</v>
      </c>
      <c r="H75" s="46">
        <v>0</v>
      </c>
      <c r="I75" s="46">
        <v>1</v>
      </c>
      <c r="J75" s="46">
        <v>4</v>
      </c>
      <c r="K75" s="47">
        <v>2400</v>
      </c>
      <c r="L75" s="47">
        <v>2400</v>
      </c>
      <c r="M75" s="47">
        <v>0</v>
      </c>
      <c r="N75" s="10" t="s">
        <v>148</v>
      </c>
      <c r="O75" s="10" t="s">
        <v>148</v>
      </c>
      <c r="P75" s="46">
        <v>176</v>
      </c>
    </row>
    <row r="76" spans="1:16" x14ac:dyDescent="0.25">
      <c r="A76" s="10" t="s">
        <v>167</v>
      </c>
      <c r="B76" s="10" t="s">
        <v>639</v>
      </c>
      <c r="C76" s="10" t="s">
        <v>640</v>
      </c>
      <c r="D76" s="10" t="s">
        <v>227</v>
      </c>
      <c r="E76" s="10" t="s">
        <v>17</v>
      </c>
      <c r="F76" s="10" t="s">
        <v>276</v>
      </c>
      <c r="G76" s="46">
        <v>2</v>
      </c>
      <c r="H76" s="46">
        <v>0</v>
      </c>
      <c r="I76" s="46">
        <v>2</v>
      </c>
      <c r="J76" s="46">
        <v>2</v>
      </c>
      <c r="K76" s="47">
        <v>700</v>
      </c>
      <c r="L76" s="47">
        <v>700</v>
      </c>
      <c r="M76" s="47">
        <v>0</v>
      </c>
      <c r="N76" s="10" t="s">
        <v>277</v>
      </c>
      <c r="O76" s="10" t="s">
        <v>148</v>
      </c>
      <c r="P76" s="46">
        <v>176</v>
      </c>
    </row>
    <row r="77" spans="1:16" x14ac:dyDescent="0.25">
      <c r="A77" s="10" t="s">
        <v>123</v>
      </c>
      <c r="B77" s="10" t="s">
        <v>641</v>
      </c>
      <c r="C77" s="10" t="s">
        <v>642</v>
      </c>
      <c r="D77" s="10" t="s">
        <v>233</v>
      </c>
      <c r="E77" s="10" t="s">
        <v>17</v>
      </c>
      <c r="F77" s="10" t="s">
        <v>276</v>
      </c>
      <c r="G77" s="46">
        <v>2</v>
      </c>
      <c r="H77" s="46">
        <v>0</v>
      </c>
      <c r="I77" s="46">
        <v>2</v>
      </c>
      <c r="J77" s="46">
        <v>10</v>
      </c>
      <c r="K77" s="47">
        <v>5500</v>
      </c>
      <c r="L77" s="47">
        <v>5500</v>
      </c>
      <c r="M77" s="47">
        <v>0</v>
      </c>
      <c r="N77" s="10" t="s">
        <v>124</v>
      </c>
      <c r="O77" s="10" t="s">
        <v>124</v>
      </c>
      <c r="P77" s="46">
        <v>198</v>
      </c>
    </row>
    <row r="78" spans="1:16" x14ac:dyDescent="0.25">
      <c r="A78" s="10" t="s">
        <v>194</v>
      </c>
      <c r="B78" s="10" t="s">
        <v>643</v>
      </c>
      <c r="C78" s="10" t="s">
        <v>644</v>
      </c>
      <c r="D78" s="10" t="s">
        <v>242</v>
      </c>
      <c r="E78" s="10" t="s">
        <v>17</v>
      </c>
      <c r="F78" s="10" t="s">
        <v>276</v>
      </c>
      <c r="G78" s="46">
        <v>1</v>
      </c>
      <c r="H78" s="46">
        <v>0</v>
      </c>
      <c r="I78" s="46">
        <v>1</v>
      </c>
      <c r="J78" s="46">
        <v>1</v>
      </c>
      <c r="K78" s="47">
        <v>350</v>
      </c>
      <c r="L78" s="47">
        <v>350</v>
      </c>
      <c r="M78" s="47">
        <v>0</v>
      </c>
      <c r="N78" s="10" t="s">
        <v>195</v>
      </c>
      <c r="O78" s="10" t="s">
        <v>195</v>
      </c>
      <c r="P78" s="46">
        <v>203</v>
      </c>
    </row>
    <row r="79" spans="1:16" x14ac:dyDescent="0.25">
      <c r="A79" s="10" t="s">
        <v>197</v>
      </c>
      <c r="B79" s="10" t="s">
        <v>645</v>
      </c>
      <c r="C79" s="10" t="s">
        <v>646</v>
      </c>
      <c r="D79" s="10" t="s">
        <v>227</v>
      </c>
      <c r="E79" s="10" t="s">
        <v>17</v>
      </c>
      <c r="F79" s="10" t="s">
        <v>276</v>
      </c>
      <c r="G79" s="46">
        <v>1</v>
      </c>
      <c r="H79" s="46">
        <v>0</v>
      </c>
      <c r="I79" s="46">
        <v>1</v>
      </c>
      <c r="J79" s="46">
        <v>1</v>
      </c>
      <c r="K79" s="47">
        <v>350</v>
      </c>
      <c r="L79" s="47">
        <v>350</v>
      </c>
      <c r="M79" s="47">
        <v>0</v>
      </c>
      <c r="N79" s="10" t="s">
        <v>198</v>
      </c>
      <c r="O79" s="10" t="s">
        <v>198</v>
      </c>
      <c r="P79" s="46">
        <v>212</v>
      </c>
    </row>
    <row r="80" spans="1:16" x14ac:dyDescent="0.25">
      <c r="A80" s="10" t="s">
        <v>150</v>
      </c>
      <c r="B80" s="10" t="s">
        <v>150</v>
      </c>
      <c r="C80" s="10" t="s">
        <v>647</v>
      </c>
      <c r="D80" s="10" t="s">
        <v>293</v>
      </c>
      <c r="E80" s="10" t="s">
        <v>18</v>
      </c>
      <c r="F80" s="10" t="s">
        <v>276</v>
      </c>
      <c r="G80" s="46">
        <v>1</v>
      </c>
      <c r="H80" s="46">
        <v>0</v>
      </c>
      <c r="I80" s="46">
        <v>0</v>
      </c>
      <c r="J80" s="46">
        <v>4</v>
      </c>
      <c r="K80" s="47">
        <v>2400</v>
      </c>
      <c r="L80" s="47">
        <v>2400</v>
      </c>
      <c r="M80" s="47">
        <v>0</v>
      </c>
      <c r="N80" s="10" t="s">
        <v>151</v>
      </c>
      <c r="O80" s="10" t="s">
        <v>151</v>
      </c>
      <c r="P80" s="46">
        <v>219</v>
      </c>
    </row>
    <row r="81" spans="1:16" x14ac:dyDescent="0.25">
      <c r="A81" s="10" t="s">
        <v>305</v>
      </c>
      <c r="B81" s="10" t="s">
        <v>305</v>
      </c>
      <c r="C81" s="10" t="s">
        <v>648</v>
      </c>
      <c r="D81" s="10" t="s">
        <v>306</v>
      </c>
      <c r="E81" s="10" t="s">
        <v>18</v>
      </c>
      <c r="F81" s="10" t="s">
        <v>279</v>
      </c>
      <c r="G81" s="46">
        <v>0</v>
      </c>
      <c r="H81" s="46">
        <v>0</v>
      </c>
      <c r="I81" s="46">
        <v>0</v>
      </c>
      <c r="J81" s="46">
        <v>0</v>
      </c>
      <c r="K81" s="47">
        <v>0</v>
      </c>
      <c r="L81" s="47">
        <v>0</v>
      </c>
      <c r="M81" s="47">
        <v>0</v>
      </c>
      <c r="N81" s="10"/>
      <c r="O81" s="10"/>
      <c r="P81" s="46">
        <v>0</v>
      </c>
    </row>
    <row r="82" spans="1:16" x14ac:dyDescent="0.25">
      <c r="A82" s="10" t="s">
        <v>307</v>
      </c>
      <c r="B82" s="10" t="s">
        <v>307</v>
      </c>
      <c r="C82" s="10" t="s">
        <v>649</v>
      </c>
      <c r="D82" s="10" t="s">
        <v>293</v>
      </c>
      <c r="E82" s="10" t="s">
        <v>18</v>
      </c>
      <c r="F82" s="10" t="s">
        <v>279</v>
      </c>
      <c r="G82" s="46">
        <v>0</v>
      </c>
      <c r="H82" s="46">
        <v>0</v>
      </c>
      <c r="I82" s="46">
        <v>0</v>
      </c>
      <c r="J82" s="46">
        <v>0</v>
      </c>
      <c r="K82" s="47">
        <v>0</v>
      </c>
      <c r="L82" s="47">
        <v>0</v>
      </c>
      <c r="M82" s="47">
        <v>0</v>
      </c>
      <c r="N82" s="10"/>
      <c r="O82" s="10"/>
      <c r="P82" s="46">
        <v>0</v>
      </c>
    </row>
    <row r="83" spans="1:16" x14ac:dyDescent="0.25">
      <c r="A83" s="10" t="s">
        <v>278</v>
      </c>
      <c r="B83" s="10" t="s">
        <v>650</v>
      </c>
      <c r="C83" s="10" t="s">
        <v>651</v>
      </c>
      <c r="D83" s="10" t="s">
        <v>274</v>
      </c>
      <c r="E83" s="10" t="s">
        <v>17</v>
      </c>
      <c r="F83" s="10" t="s">
        <v>279</v>
      </c>
      <c r="G83" s="46">
        <v>0</v>
      </c>
      <c r="H83" s="46">
        <v>0</v>
      </c>
      <c r="I83" s="46">
        <v>0</v>
      </c>
      <c r="J83" s="46">
        <v>0</v>
      </c>
      <c r="K83" s="47">
        <v>0</v>
      </c>
      <c r="L83" s="47">
        <v>0</v>
      </c>
      <c r="M83" s="47">
        <v>0</v>
      </c>
      <c r="N83" s="10"/>
      <c r="O83" s="10"/>
      <c r="P83" s="46">
        <v>0</v>
      </c>
    </row>
    <row r="84" spans="1:16" x14ac:dyDescent="0.25">
      <c r="A84" s="10" t="s">
        <v>308</v>
      </c>
      <c r="B84" s="10" t="s">
        <v>308</v>
      </c>
      <c r="C84" s="10" t="s">
        <v>652</v>
      </c>
      <c r="D84" s="10" t="s">
        <v>293</v>
      </c>
      <c r="E84" s="10" t="s">
        <v>18</v>
      </c>
      <c r="F84" s="10" t="s">
        <v>279</v>
      </c>
      <c r="G84" s="46">
        <v>0</v>
      </c>
      <c r="H84" s="46">
        <v>0</v>
      </c>
      <c r="I84" s="46">
        <v>0</v>
      </c>
      <c r="J84" s="46">
        <v>0</v>
      </c>
      <c r="K84" s="47">
        <v>0</v>
      </c>
      <c r="L84" s="47">
        <v>0</v>
      </c>
      <c r="M84" s="47">
        <v>0</v>
      </c>
      <c r="N84" s="10"/>
      <c r="O84" s="10"/>
      <c r="P84" s="46">
        <v>0</v>
      </c>
    </row>
    <row r="85" spans="1:16" x14ac:dyDescent="0.25">
      <c r="A85" s="10" t="s">
        <v>280</v>
      </c>
      <c r="B85" s="10" t="s">
        <v>653</v>
      </c>
      <c r="C85" s="10" t="s">
        <v>654</v>
      </c>
      <c r="D85" s="10" t="s">
        <v>271</v>
      </c>
      <c r="E85" s="10" t="s">
        <v>17</v>
      </c>
      <c r="F85" s="10" t="s">
        <v>279</v>
      </c>
      <c r="G85" s="46">
        <v>0</v>
      </c>
      <c r="H85" s="46">
        <v>0</v>
      </c>
      <c r="I85" s="46">
        <v>0</v>
      </c>
      <c r="J85" s="46">
        <v>0</v>
      </c>
      <c r="K85" s="47">
        <v>0</v>
      </c>
      <c r="L85" s="47">
        <v>0</v>
      </c>
      <c r="M85" s="47">
        <v>0</v>
      </c>
      <c r="N85" s="10"/>
      <c r="O85" s="10"/>
      <c r="P85" s="46">
        <v>0</v>
      </c>
    </row>
    <row r="86" spans="1:16" x14ac:dyDescent="0.25">
      <c r="A86" s="10" t="s">
        <v>309</v>
      </c>
      <c r="B86" s="10" t="s">
        <v>655</v>
      </c>
      <c r="C86" s="10" t="s">
        <v>656</v>
      </c>
      <c r="D86" s="10" t="s">
        <v>310</v>
      </c>
      <c r="E86" s="10" t="s">
        <v>18</v>
      </c>
      <c r="F86" s="10" t="s">
        <v>279</v>
      </c>
      <c r="G86" s="46">
        <v>0</v>
      </c>
      <c r="H86" s="46">
        <v>0</v>
      </c>
      <c r="I86" s="46">
        <v>0</v>
      </c>
      <c r="J86" s="46">
        <v>0</v>
      </c>
      <c r="K86" s="47">
        <v>0</v>
      </c>
      <c r="L86" s="47">
        <v>0</v>
      </c>
      <c r="M86" s="47">
        <v>0</v>
      </c>
      <c r="N86" s="10"/>
      <c r="O86" s="10"/>
      <c r="P86" s="46">
        <v>0</v>
      </c>
    </row>
    <row r="87" spans="1:16" x14ac:dyDescent="0.25">
      <c r="A87" s="10" t="s">
        <v>281</v>
      </c>
      <c r="B87" s="10" t="s">
        <v>657</v>
      </c>
      <c r="C87" s="10" t="s">
        <v>658</v>
      </c>
      <c r="D87" s="10" t="s">
        <v>282</v>
      </c>
      <c r="E87" s="10" t="s">
        <v>17</v>
      </c>
      <c r="F87" s="10" t="s">
        <v>279</v>
      </c>
      <c r="G87" s="46">
        <v>0</v>
      </c>
      <c r="H87" s="46">
        <v>0</v>
      </c>
      <c r="I87" s="46">
        <v>0</v>
      </c>
      <c r="J87" s="46">
        <v>0</v>
      </c>
      <c r="K87" s="47">
        <v>0</v>
      </c>
      <c r="L87" s="47">
        <v>0</v>
      </c>
      <c r="M87" s="47">
        <v>0</v>
      </c>
      <c r="N87" s="10"/>
      <c r="O87" s="10"/>
      <c r="P87" s="46">
        <v>0</v>
      </c>
    </row>
    <row r="88" spans="1:16" x14ac:dyDescent="0.25">
      <c r="A88" s="10" t="s">
        <v>311</v>
      </c>
      <c r="B88" s="10" t="s">
        <v>659</v>
      </c>
      <c r="C88" s="10" t="s">
        <v>660</v>
      </c>
      <c r="D88" s="10" t="s">
        <v>300</v>
      </c>
      <c r="E88" s="10" t="s">
        <v>18</v>
      </c>
      <c r="F88" s="10" t="s">
        <v>279</v>
      </c>
      <c r="G88" s="46">
        <v>0</v>
      </c>
      <c r="H88" s="46">
        <v>0</v>
      </c>
      <c r="I88" s="46">
        <v>0</v>
      </c>
      <c r="J88" s="46">
        <v>0</v>
      </c>
      <c r="K88" s="47">
        <v>0</v>
      </c>
      <c r="L88" s="47">
        <v>0</v>
      </c>
      <c r="M88" s="47">
        <v>0</v>
      </c>
      <c r="N88" s="10"/>
      <c r="O88" s="10"/>
      <c r="P88" s="46">
        <v>0</v>
      </c>
    </row>
    <row r="89" spans="1:16" x14ac:dyDescent="0.25">
      <c r="A89" s="10" t="s">
        <v>283</v>
      </c>
      <c r="B89" s="10" t="s">
        <v>661</v>
      </c>
      <c r="C89" s="10" t="s">
        <v>662</v>
      </c>
      <c r="D89" s="10" t="s">
        <v>226</v>
      </c>
      <c r="E89" s="10" t="s">
        <v>17</v>
      </c>
      <c r="F89" s="10" t="s">
        <v>279</v>
      </c>
      <c r="G89" s="46">
        <v>0</v>
      </c>
      <c r="H89" s="46">
        <v>0</v>
      </c>
      <c r="I89" s="46">
        <v>0</v>
      </c>
      <c r="J89" s="46">
        <v>0</v>
      </c>
      <c r="K89" s="47">
        <v>0</v>
      </c>
      <c r="L89" s="47">
        <v>0</v>
      </c>
      <c r="M89" s="47">
        <v>0</v>
      </c>
      <c r="N89" s="10"/>
      <c r="O89" s="10"/>
      <c r="P89" s="46">
        <v>0</v>
      </c>
    </row>
    <row r="90" spans="1:16" x14ac:dyDescent="0.25">
      <c r="A90" s="10" t="s">
        <v>284</v>
      </c>
      <c r="B90" s="10" t="s">
        <v>663</v>
      </c>
      <c r="C90" s="10" t="s">
        <v>664</v>
      </c>
      <c r="D90" s="10" t="s">
        <v>246</v>
      </c>
      <c r="E90" s="10" t="s">
        <v>17</v>
      </c>
      <c r="F90" s="10" t="s">
        <v>279</v>
      </c>
      <c r="G90" s="46">
        <v>0</v>
      </c>
      <c r="H90" s="46">
        <v>0</v>
      </c>
      <c r="I90" s="46">
        <v>0</v>
      </c>
      <c r="J90" s="46">
        <v>0</v>
      </c>
      <c r="K90" s="47">
        <v>0</v>
      </c>
      <c r="L90" s="47">
        <v>0</v>
      </c>
      <c r="M90" s="47">
        <v>0</v>
      </c>
      <c r="N90" s="10"/>
      <c r="O90" s="10"/>
      <c r="P90" s="46">
        <v>0</v>
      </c>
    </row>
    <row r="91" spans="1:16" x14ac:dyDescent="0.25">
      <c r="A91" s="10" t="s">
        <v>312</v>
      </c>
      <c r="B91" s="10" t="s">
        <v>665</v>
      </c>
      <c r="C91" s="10" t="s">
        <v>666</v>
      </c>
      <c r="D91" s="10" t="s">
        <v>293</v>
      </c>
      <c r="E91" s="10" t="s">
        <v>18</v>
      </c>
      <c r="F91" s="10" t="s">
        <v>279</v>
      </c>
      <c r="G91" s="46">
        <v>0</v>
      </c>
      <c r="H91" s="46">
        <v>0</v>
      </c>
      <c r="I91" s="46">
        <v>0</v>
      </c>
      <c r="J91" s="46">
        <v>0</v>
      </c>
      <c r="K91" s="47">
        <v>0</v>
      </c>
      <c r="L91" s="47">
        <v>0</v>
      </c>
      <c r="M91" s="47">
        <v>0</v>
      </c>
      <c r="N91" s="10"/>
      <c r="O91" s="10"/>
      <c r="P91" s="46">
        <v>0</v>
      </c>
    </row>
    <row r="92" spans="1:16" x14ac:dyDescent="0.25">
      <c r="A92" s="10" t="s">
        <v>313</v>
      </c>
      <c r="B92" s="10" t="s">
        <v>667</v>
      </c>
      <c r="C92" s="10" t="s">
        <v>668</v>
      </c>
      <c r="D92" s="10" t="s">
        <v>314</v>
      </c>
      <c r="E92" s="10" t="s">
        <v>18</v>
      </c>
      <c r="F92" s="10" t="s">
        <v>279</v>
      </c>
      <c r="G92" s="46">
        <v>0</v>
      </c>
      <c r="H92" s="46">
        <v>0</v>
      </c>
      <c r="I92" s="46">
        <v>0</v>
      </c>
      <c r="J92" s="46">
        <v>0</v>
      </c>
      <c r="K92" s="47">
        <v>0</v>
      </c>
      <c r="L92" s="47">
        <v>0</v>
      </c>
      <c r="M92" s="47">
        <v>0</v>
      </c>
      <c r="N92" s="10"/>
      <c r="O92" s="10"/>
      <c r="P92" s="46">
        <v>0</v>
      </c>
    </row>
    <row r="93" spans="1:16" x14ac:dyDescent="0.25">
      <c r="A93" s="10" t="s">
        <v>315</v>
      </c>
      <c r="B93" s="10" t="s">
        <v>669</v>
      </c>
      <c r="C93" s="10" t="s">
        <v>670</v>
      </c>
      <c r="D93" s="10" t="s">
        <v>232</v>
      </c>
      <c r="E93" s="10" t="s">
        <v>18</v>
      </c>
      <c r="F93" s="10" t="s">
        <v>279</v>
      </c>
      <c r="G93" s="46">
        <v>0</v>
      </c>
      <c r="H93" s="46">
        <v>0</v>
      </c>
      <c r="I93" s="46">
        <v>0</v>
      </c>
      <c r="J93" s="46">
        <v>0</v>
      </c>
      <c r="K93" s="47">
        <v>0</v>
      </c>
      <c r="L93" s="47">
        <v>0</v>
      </c>
      <c r="M93" s="47">
        <v>0</v>
      </c>
      <c r="N93" s="10"/>
      <c r="O93" s="10"/>
      <c r="P93" s="46">
        <v>0</v>
      </c>
    </row>
    <row r="94" spans="1:16" x14ac:dyDescent="0.25">
      <c r="A94" s="10" t="s">
        <v>316</v>
      </c>
      <c r="B94" s="10" t="s">
        <v>671</v>
      </c>
      <c r="C94" s="10" t="s">
        <v>672</v>
      </c>
      <c r="D94" s="10" t="s">
        <v>293</v>
      </c>
      <c r="E94" s="10" t="s">
        <v>18</v>
      </c>
      <c r="F94" s="10" t="s">
        <v>279</v>
      </c>
      <c r="G94" s="46">
        <v>0</v>
      </c>
      <c r="H94" s="46">
        <v>0</v>
      </c>
      <c r="I94" s="46">
        <v>0</v>
      </c>
      <c r="J94" s="46">
        <v>0</v>
      </c>
      <c r="K94" s="47">
        <v>0</v>
      </c>
      <c r="L94" s="47">
        <v>0</v>
      </c>
      <c r="M94" s="47">
        <v>0</v>
      </c>
      <c r="N94" s="10"/>
      <c r="O94" s="10"/>
      <c r="P94" s="46">
        <v>0</v>
      </c>
    </row>
    <row r="95" spans="1:16" x14ac:dyDescent="0.25">
      <c r="A95" s="10" t="s">
        <v>285</v>
      </c>
      <c r="B95" s="10" t="s">
        <v>673</v>
      </c>
      <c r="C95" s="10" t="s">
        <v>674</v>
      </c>
      <c r="D95" s="10" t="s">
        <v>227</v>
      </c>
      <c r="E95" s="10" t="s">
        <v>17</v>
      </c>
      <c r="F95" s="10" t="s">
        <v>279</v>
      </c>
      <c r="G95" s="46">
        <v>0</v>
      </c>
      <c r="H95" s="46">
        <v>0</v>
      </c>
      <c r="I95" s="46">
        <v>0</v>
      </c>
      <c r="J95" s="46">
        <v>0</v>
      </c>
      <c r="K95" s="47">
        <v>0</v>
      </c>
      <c r="L95" s="47">
        <v>0</v>
      </c>
      <c r="M95" s="47">
        <v>0</v>
      </c>
      <c r="N95" s="10"/>
      <c r="O95" s="10"/>
      <c r="P95" s="46">
        <v>0</v>
      </c>
    </row>
    <row r="96" spans="1:16" x14ac:dyDescent="0.25">
      <c r="A96" s="10" t="s">
        <v>286</v>
      </c>
      <c r="B96" s="10" t="s">
        <v>675</v>
      </c>
      <c r="C96" s="10" t="s">
        <v>676</v>
      </c>
      <c r="D96" s="10" t="s">
        <v>249</v>
      </c>
      <c r="E96" s="10" t="s">
        <v>17</v>
      </c>
      <c r="F96" s="10" t="s">
        <v>279</v>
      </c>
      <c r="G96" s="46">
        <v>0</v>
      </c>
      <c r="H96" s="46">
        <v>0</v>
      </c>
      <c r="I96" s="46">
        <v>0</v>
      </c>
      <c r="J96" s="46">
        <v>0</v>
      </c>
      <c r="K96" s="47">
        <v>0</v>
      </c>
      <c r="L96" s="47">
        <v>0</v>
      </c>
      <c r="M96" s="47">
        <v>0</v>
      </c>
      <c r="N96" s="10"/>
      <c r="O96" s="10"/>
      <c r="P96" s="46">
        <v>0</v>
      </c>
    </row>
    <row r="97" spans="1:16" x14ac:dyDescent="0.25">
      <c r="A97" s="10" t="s">
        <v>317</v>
      </c>
      <c r="B97" s="10" t="s">
        <v>677</v>
      </c>
      <c r="C97" s="10" t="s">
        <v>678</v>
      </c>
      <c r="D97" s="10" t="s">
        <v>318</v>
      </c>
      <c r="E97" s="10" t="s">
        <v>18</v>
      </c>
      <c r="F97" s="10" t="s">
        <v>279</v>
      </c>
      <c r="G97" s="46">
        <v>0</v>
      </c>
      <c r="H97" s="46">
        <v>0</v>
      </c>
      <c r="I97" s="46">
        <v>0</v>
      </c>
      <c r="J97" s="46">
        <v>0</v>
      </c>
      <c r="K97" s="47">
        <v>0</v>
      </c>
      <c r="L97" s="47">
        <v>0</v>
      </c>
      <c r="M97" s="47">
        <v>0</v>
      </c>
      <c r="N97" s="10"/>
      <c r="O97" s="10"/>
      <c r="P97" s="46">
        <v>0</v>
      </c>
    </row>
    <row r="98" spans="1:16" x14ac:dyDescent="0.25">
      <c r="A98" s="10" t="s">
        <v>319</v>
      </c>
      <c r="B98" s="10" t="s">
        <v>679</v>
      </c>
      <c r="C98" s="10" t="s">
        <v>680</v>
      </c>
      <c r="D98" s="10" t="s">
        <v>310</v>
      </c>
      <c r="E98" s="10" t="s">
        <v>18</v>
      </c>
      <c r="F98" s="10" t="s">
        <v>279</v>
      </c>
      <c r="G98" s="46">
        <v>0</v>
      </c>
      <c r="H98" s="46">
        <v>0</v>
      </c>
      <c r="I98" s="46">
        <v>0</v>
      </c>
      <c r="J98" s="46">
        <v>0</v>
      </c>
      <c r="K98" s="47">
        <v>0</v>
      </c>
      <c r="L98" s="47">
        <v>0</v>
      </c>
      <c r="M98" s="47">
        <v>0</v>
      </c>
      <c r="N98" s="10"/>
      <c r="O98" s="10"/>
      <c r="P98" s="46">
        <v>0</v>
      </c>
    </row>
    <row r="99" spans="1:16" x14ac:dyDescent="0.25">
      <c r="A99" s="10" t="s">
        <v>320</v>
      </c>
      <c r="B99" s="10" t="s">
        <v>681</v>
      </c>
      <c r="C99" s="10" t="s">
        <v>682</v>
      </c>
      <c r="D99" s="10" t="s">
        <v>294</v>
      </c>
      <c r="E99" s="10" t="s">
        <v>18</v>
      </c>
      <c r="F99" s="10" t="s">
        <v>279</v>
      </c>
      <c r="G99" s="46">
        <v>0</v>
      </c>
      <c r="H99" s="46">
        <v>0</v>
      </c>
      <c r="I99" s="46">
        <v>0</v>
      </c>
      <c r="J99" s="46">
        <v>0</v>
      </c>
      <c r="K99" s="47">
        <v>0</v>
      </c>
      <c r="L99" s="47">
        <v>0</v>
      </c>
      <c r="M99" s="47">
        <v>0</v>
      </c>
      <c r="N99" s="10"/>
      <c r="O99" s="10"/>
      <c r="P99" s="46">
        <v>0</v>
      </c>
    </row>
    <row r="100" spans="1:16" x14ac:dyDescent="0.25">
      <c r="A100" s="10" t="s">
        <v>321</v>
      </c>
      <c r="B100" s="10" t="s">
        <v>683</v>
      </c>
      <c r="C100" s="10" t="s">
        <v>684</v>
      </c>
      <c r="D100" s="10" t="s">
        <v>232</v>
      </c>
      <c r="E100" s="10" t="s">
        <v>18</v>
      </c>
      <c r="F100" s="10" t="s">
        <v>279</v>
      </c>
      <c r="G100" s="46">
        <v>0</v>
      </c>
      <c r="H100" s="46">
        <v>0</v>
      </c>
      <c r="I100" s="46">
        <v>0</v>
      </c>
      <c r="J100" s="46">
        <v>0</v>
      </c>
      <c r="K100" s="47">
        <v>0</v>
      </c>
      <c r="L100" s="47">
        <v>0</v>
      </c>
      <c r="M100" s="47">
        <v>0</v>
      </c>
      <c r="N100" s="10"/>
      <c r="O100" s="10"/>
      <c r="P100" s="46">
        <v>0</v>
      </c>
    </row>
    <row r="101" spans="1:16" x14ac:dyDescent="0.25">
      <c r="A101" s="10" t="s">
        <v>150</v>
      </c>
      <c r="B101" s="10" t="s">
        <v>685</v>
      </c>
      <c r="C101" s="10" t="s">
        <v>686</v>
      </c>
      <c r="D101" s="10" t="s">
        <v>293</v>
      </c>
      <c r="E101" s="10" t="s">
        <v>18</v>
      </c>
      <c r="F101" s="10" t="s">
        <v>279</v>
      </c>
      <c r="G101" s="46">
        <v>0</v>
      </c>
      <c r="H101" s="46">
        <v>0</v>
      </c>
      <c r="I101" s="46">
        <v>0</v>
      </c>
      <c r="J101" s="46">
        <v>0</v>
      </c>
      <c r="K101" s="47">
        <v>0</v>
      </c>
      <c r="L101" s="47">
        <v>0</v>
      </c>
      <c r="M101" s="47">
        <v>0</v>
      </c>
      <c r="N101" s="10"/>
      <c r="O101" s="10"/>
      <c r="P101" s="46">
        <v>0</v>
      </c>
    </row>
    <row r="102" spans="1:16" x14ac:dyDescent="0.25">
      <c r="A102" s="10" t="s">
        <v>287</v>
      </c>
      <c r="B102" s="10" t="s">
        <v>687</v>
      </c>
      <c r="C102" s="10" t="s">
        <v>688</v>
      </c>
      <c r="D102" s="10" t="s">
        <v>274</v>
      </c>
      <c r="E102" s="10" t="s">
        <v>17</v>
      </c>
      <c r="F102" s="10" t="s">
        <v>279</v>
      </c>
      <c r="G102" s="46">
        <v>0</v>
      </c>
      <c r="H102" s="46">
        <v>0</v>
      </c>
      <c r="I102" s="46">
        <v>0</v>
      </c>
      <c r="J102" s="46">
        <v>0</v>
      </c>
      <c r="K102" s="47">
        <v>0</v>
      </c>
      <c r="L102" s="47">
        <v>0</v>
      </c>
      <c r="M102" s="47">
        <v>0</v>
      </c>
      <c r="N102" s="10"/>
      <c r="O102" s="10"/>
      <c r="P102" s="46">
        <v>0</v>
      </c>
    </row>
    <row r="103" spans="1:16" x14ac:dyDescent="0.25">
      <c r="A103" s="10" t="s">
        <v>288</v>
      </c>
      <c r="B103" s="10" t="s">
        <v>689</v>
      </c>
      <c r="C103" s="10" t="s">
        <v>690</v>
      </c>
      <c r="D103" s="10" t="s">
        <v>233</v>
      </c>
      <c r="E103" s="10" t="s">
        <v>17</v>
      </c>
      <c r="F103" s="10" t="s">
        <v>279</v>
      </c>
      <c r="G103" s="46">
        <v>0</v>
      </c>
      <c r="H103" s="46">
        <v>0</v>
      </c>
      <c r="I103" s="46">
        <v>0</v>
      </c>
      <c r="J103" s="46">
        <v>0</v>
      </c>
      <c r="K103" s="47">
        <v>0</v>
      </c>
      <c r="L103" s="47">
        <v>0</v>
      </c>
      <c r="M103" s="47">
        <v>0</v>
      </c>
      <c r="N103" s="10"/>
      <c r="O103" s="10"/>
      <c r="P103" s="46">
        <v>0</v>
      </c>
    </row>
    <row r="104" spans="1:16" x14ac:dyDescent="0.25">
      <c r="A104" s="10" t="s">
        <v>322</v>
      </c>
      <c r="B104" s="10" t="s">
        <v>691</v>
      </c>
      <c r="C104" s="10" t="s">
        <v>692</v>
      </c>
      <c r="D104" s="10" t="s">
        <v>226</v>
      </c>
      <c r="E104" s="10" t="s">
        <v>18</v>
      </c>
      <c r="F104" s="10" t="s">
        <v>279</v>
      </c>
      <c r="G104" s="46">
        <v>0</v>
      </c>
      <c r="H104" s="46">
        <v>0</v>
      </c>
      <c r="I104" s="46">
        <v>0</v>
      </c>
      <c r="J104" s="46">
        <v>0</v>
      </c>
      <c r="K104" s="47">
        <v>0</v>
      </c>
      <c r="L104" s="47">
        <v>0</v>
      </c>
      <c r="M104" s="47">
        <v>0</v>
      </c>
      <c r="N104" s="10"/>
      <c r="O104" s="10"/>
      <c r="P104" s="46">
        <v>0</v>
      </c>
    </row>
    <row r="105" spans="1:16" x14ac:dyDescent="0.25">
      <c r="A105" s="10" t="s">
        <v>323</v>
      </c>
      <c r="B105" s="10" t="s">
        <v>693</v>
      </c>
      <c r="C105" s="10" t="s">
        <v>694</v>
      </c>
      <c r="D105" s="10" t="s">
        <v>314</v>
      </c>
      <c r="E105" s="10" t="s">
        <v>18</v>
      </c>
      <c r="F105" s="10" t="s">
        <v>279</v>
      </c>
      <c r="G105" s="46">
        <v>0</v>
      </c>
      <c r="H105" s="46">
        <v>0</v>
      </c>
      <c r="I105" s="46">
        <v>0</v>
      </c>
      <c r="J105" s="46">
        <v>0</v>
      </c>
      <c r="K105" s="47">
        <v>0</v>
      </c>
      <c r="L105" s="47">
        <v>0</v>
      </c>
      <c r="M105" s="47">
        <v>0</v>
      </c>
      <c r="N105" s="10"/>
      <c r="O105" s="10"/>
      <c r="P105" s="46">
        <v>0</v>
      </c>
    </row>
    <row r="106" spans="1:16" x14ac:dyDescent="0.25">
      <c r="A106" s="10" t="s">
        <v>324</v>
      </c>
      <c r="B106" s="10" t="s">
        <v>695</v>
      </c>
      <c r="C106" s="10" t="s">
        <v>696</v>
      </c>
      <c r="D106" s="10" t="s">
        <v>293</v>
      </c>
      <c r="E106" s="10" t="s">
        <v>18</v>
      </c>
      <c r="F106" s="10" t="s">
        <v>279</v>
      </c>
      <c r="G106" s="46">
        <v>0</v>
      </c>
      <c r="H106" s="46">
        <v>0</v>
      </c>
      <c r="I106" s="46">
        <v>0</v>
      </c>
      <c r="J106" s="46">
        <v>0</v>
      </c>
      <c r="K106" s="47">
        <v>0</v>
      </c>
      <c r="L106" s="47">
        <v>0</v>
      </c>
      <c r="M106" s="47">
        <v>0</v>
      </c>
      <c r="N106" s="10"/>
      <c r="O106" s="10"/>
      <c r="P106" s="46">
        <v>0</v>
      </c>
    </row>
    <row r="107" spans="1:16" x14ac:dyDescent="0.25">
      <c r="A107" s="10" t="s">
        <v>325</v>
      </c>
      <c r="B107" s="10" t="s">
        <v>697</v>
      </c>
      <c r="C107" s="10" t="s">
        <v>698</v>
      </c>
      <c r="D107" s="10" t="s">
        <v>293</v>
      </c>
      <c r="E107" s="10" t="s">
        <v>18</v>
      </c>
      <c r="F107" s="10" t="s">
        <v>279</v>
      </c>
      <c r="G107" s="46">
        <v>0</v>
      </c>
      <c r="H107" s="46">
        <v>0</v>
      </c>
      <c r="I107" s="46">
        <v>0</v>
      </c>
      <c r="J107" s="46">
        <v>0</v>
      </c>
      <c r="K107" s="47">
        <v>0</v>
      </c>
      <c r="L107" s="47">
        <v>0</v>
      </c>
      <c r="M107" s="47">
        <v>0</v>
      </c>
      <c r="N107" s="10"/>
      <c r="O107" s="10"/>
      <c r="P107" s="46">
        <v>0</v>
      </c>
    </row>
    <row r="108" spans="1:16" x14ac:dyDescent="0.25">
      <c r="A108" s="10" t="s">
        <v>326</v>
      </c>
      <c r="B108" s="10" t="s">
        <v>699</v>
      </c>
      <c r="C108" s="10" t="s">
        <v>700</v>
      </c>
      <c r="D108" s="10" t="s">
        <v>327</v>
      </c>
      <c r="E108" s="10" t="s">
        <v>18</v>
      </c>
      <c r="F108" s="10" t="s">
        <v>279</v>
      </c>
      <c r="G108" s="46">
        <v>0</v>
      </c>
      <c r="H108" s="46">
        <v>0</v>
      </c>
      <c r="I108" s="46">
        <v>0</v>
      </c>
      <c r="J108" s="46">
        <v>0</v>
      </c>
      <c r="K108" s="47">
        <v>0</v>
      </c>
      <c r="L108" s="47">
        <v>0</v>
      </c>
      <c r="M108" s="47">
        <v>0</v>
      </c>
      <c r="N108" s="10"/>
      <c r="O108" s="10"/>
      <c r="P108" s="46">
        <v>0</v>
      </c>
    </row>
    <row r="109" spans="1:16" x14ac:dyDescent="0.25">
      <c r="A109" s="10" t="s">
        <v>289</v>
      </c>
      <c r="B109" s="10" t="s">
        <v>701</v>
      </c>
      <c r="C109" s="10" t="s">
        <v>702</v>
      </c>
      <c r="D109" s="10" t="s">
        <v>233</v>
      </c>
      <c r="E109" s="10" t="s">
        <v>17</v>
      </c>
      <c r="F109" s="10" t="s">
        <v>279</v>
      </c>
      <c r="G109" s="46">
        <v>0</v>
      </c>
      <c r="H109" s="46">
        <v>0</v>
      </c>
      <c r="I109" s="46">
        <v>0</v>
      </c>
      <c r="J109" s="46">
        <v>0</v>
      </c>
      <c r="K109" s="47">
        <v>0</v>
      </c>
      <c r="L109" s="47">
        <v>0</v>
      </c>
      <c r="M109" s="47">
        <v>0</v>
      </c>
      <c r="N109" s="10"/>
      <c r="O109" s="10"/>
      <c r="P109" s="46">
        <v>0</v>
      </c>
    </row>
    <row r="110" spans="1:16" x14ac:dyDescent="0.25">
      <c r="A110" s="10" t="s">
        <v>328</v>
      </c>
      <c r="B110" s="10" t="s">
        <v>703</v>
      </c>
      <c r="C110" s="10" t="s">
        <v>704</v>
      </c>
      <c r="D110" s="10" t="s">
        <v>329</v>
      </c>
      <c r="E110" s="10" t="s">
        <v>18</v>
      </c>
      <c r="F110" s="10" t="s">
        <v>279</v>
      </c>
      <c r="G110" s="46">
        <v>0</v>
      </c>
      <c r="H110" s="46">
        <v>0</v>
      </c>
      <c r="I110" s="46">
        <v>0</v>
      </c>
      <c r="J110" s="46">
        <v>0</v>
      </c>
      <c r="K110" s="47">
        <v>0</v>
      </c>
      <c r="L110" s="47">
        <v>0</v>
      </c>
      <c r="M110" s="47">
        <v>0</v>
      </c>
      <c r="N110" s="10"/>
      <c r="O110" s="10"/>
      <c r="P110" s="46">
        <v>0</v>
      </c>
    </row>
    <row r="111" spans="1:16" x14ac:dyDescent="0.25">
      <c r="A111" s="10" t="s">
        <v>330</v>
      </c>
      <c r="B111" s="10" t="s">
        <v>705</v>
      </c>
      <c r="C111" s="10" t="s">
        <v>706</v>
      </c>
      <c r="D111" s="10" t="s">
        <v>331</v>
      </c>
      <c r="E111" s="10" t="s">
        <v>18</v>
      </c>
      <c r="F111" s="10" t="s">
        <v>279</v>
      </c>
      <c r="G111" s="46">
        <v>0</v>
      </c>
      <c r="H111" s="46">
        <v>0</v>
      </c>
      <c r="I111" s="46">
        <v>0</v>
      </c>
      <c r="J111" s="46">
        <v>0</v>
      </c>
      <c r="K111" s="47">
        <v>0</v>
      </c>
      <c r="L111" s="47">
        <v>0</v>
      </c>
      <c r="M111" s="47">
        <v>0</v>
      </c>
      <c r="N111" s="10"/>
      <c r="O111" s="10"/>
      <c r="P111" s="46">
        <v>0</v>
      </c>
    </row>
    <row r="112" spans="1:16" x14ac:dyDescent="0.25">
      <c r="A112" s="10" t="s">
        <v>332</v>
      </c>
      <c r="B112" s="10" t="s">
        <v>707</v>
      </c>
      <c r="C112" s="10" t="s">
        <v>708</v>
      </c>
      <c r="D112" s="10" t="s">
        <v>244</v>
      </c>
      <c r="E112" s="10" t="s">
        <v>18</v>
      </c>
      <c r="F112" s="10" t="s">
        <v>279</v>
      </c>
      <c r="G112" s="46">
        <v>0</v>
      </c>
      <c r="H112" s="46">
        <v>0</v>
      </c>
      <c r="I112" s="46">
        <v>0</v>
      </c>
      <c r="J112" s="46">
        <v>0</v>
      </c>
      <c r="K112" s="47">
        <v>0</v>
      </c>
      <c r="L112" s="47">
        <v>0</v>
      </c>
      <c r="M112" s="47">
        <v>0</v>
      </c>
      <c r="N112" s="10"/>
      <c r="O112" s="10"/>
      <c r="P112" s="4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FormatPr defaultRowHeight="15" outlineLevelRow="0" outlineLevelCol="0" x14ac:dyDescent="55"/>
  <cols>
    <col min="1" max="1" width="3" customWidth="1"/>
  </cols>
  <sheetData>
    <row r="2" spans="2:8" x14ac:dyDescent="0.25">
      <c r="B2" s="29" t="s">
        <v>709</v>
      </c>
      <c r="C2" s="29"/>
      <c r="D2" s="29"/>
      <c r="E2" s="29"/>
      <c r="F2" s="29"/>
      <c r="G2" s="29"/>
      <c r="H2" s="29"/>
    </row>
    <row r="4" spans="2:9" x14ac:dyDescent="0.25">
      <c r="B4" s="83" t="s">
        <v>710</v>
      </c>
      <c r="C4" s="83"/>
      <c r="D4" s="83"/>
      <c r="E4" s="83"/>
      <c r="F4" s="83"/>
      <c r="G4" s="83"/>
      <c r="H4" s="83"/>
      <c r="I4" s="83"/>
    </row>
    <row r="5" spans="2:9" x14ac:dyDescent="0.25">
      <c r="B5" s="84" t="s">
        <v>711</v>
      </c>
      <c r="C5" s="84"/>
      <c r="D5" s="84"/>
      <c r="E5" s="84"/>
      <c r="F5" s="84"/>
      <c r="G5" s="84"/>
      <c r="H5" s="84"/>
      <c r="I5" s="84"/>
    </row>
    <row r="6" spans="2:9" x14ac:dyDescent="0.25">
      <c r="B6" s="84" t="s">
        <v>712</v>
      </c>
      <c r="C6" s="84"/>
      <c r="D6" s="84"/>
      <c r="E6" s="84"/>
      <c r="F6" s="84"/>
      <c r="G6" s="84"/>
      <c r="H6" s="84"/>
      <c r="I6" s="84"/>
    </row>
    <row r="7" spans="2:9" x14ac:dyDescent="0.25">
      <c r="B7" s="84" t="s">
        <v>22</v>
      </c>
      <c r="C7" s="84"/>
      <c r="D7" s="84"/>
      <c r="E7" s="84"/>
      <c r="F7" s="84"/>
      <c r="G7" s="84"/>
      <c r="H7" s="84"/>
      <c r="I7" s="84"/>
    </row>
    <row r="8" spans="2:9" x14ac:dyDescent="0.25">
      <c r="B8" s="84" t="s">
        <v>713</v>
      </c>
      <c r="C8" s="84"/>
      <c r="D8" s="84"/>
      <c r="E8" s="84"/>
      <c r="F8" s="84"/>
      <c r="G8" s="84"/>
      <c r="H8" s="84"/>
      <c r="I8" s="84"/>
    </row>
    <row r="9" spans="2:9" x14ac:dyDescent="0.25">
      <c r="B9" s="84" t="s">
        <v>714</v>
      </c>
      <c r="C9" s="84"/>
      <c r="D9" s="84"/>
      <c r="E9" s="84"/>
      <c r="F9" s="84"/>
      <c r="G9" s="84"/>
      <c r="H9" s="84"/>
      <c r="I9" s="84"/>
    </row>
    <row r="10" spans="2:9" x14ac:dyDescent="0.25">
      <c r="B10" s="84" t="s">
        <v>22</v>
      </c>
      <c r="C10" s="84"/>
      <c r="D10" s="84"/>
      <c r="E10" s="84"/>
      <c r="F10" s="84"/>
      <c r="G10" s="84"/>
      <c r="H10" s="84"/>
      <c r="I10" s="84"/>
    </row>
    <row r="11" spans="2:9" x14ac:dyDescent="0.25">
      <c r="B11" s="83" t="s">
        <v>715</v>
      </c>
      <c r="C11" s="83"/>
      <c r="D11" s="83"/>
      <c r="E11" s="83"/>
      <c r="F11" s="83"/>
      <c r="G11" s="83"/>
      <c r="H11" s="83"/>
      <c r="I11" s="83"/>
    </row>
    <row r="12" spans="2:9" x14ac:dyDescent="0.25">
      <c r="B12" s="84" t="s">
        <v>716</v>
      </c>
      <c r="C12" s="84"/>
      <c r="D12" s="84"/>
      <c r="E12" s="84"/>
      <c r="F12" s="84"/>
      <c r="G12" s="84"/>
      <c r="H12" s="84"/>
      <c r="I12" s="84"/>
    </row>
    <row r="13" spans="2:9" x14ac:dyDescent="0.25">
      <c r="B13" s="84" t="s">
        <v>717</v>
      </c>
      <c r="C13" s="84"/>
      <c r="D13" s="84"/>
      <c r="E13" s="84"/>
      <c r="F13" s="84"/>
      <c r="G13" s="84"/>
      <c r="H13" s="84"/>
      <c r="I13" s="84"/>
    </row>
    <row r="14" spans="2:9" x14ac:dyDescent="0.25">
      <c r="B14" s="84" t="s">
        <v>718</v>
      </c>
      <c r="C14" s="84"/>
      <c r="D14" s="84"/>
      <c r="E14" s="84"/>
      <c r="F14" s="84"/>
      <c r="G14" s="84"/>
      <c r="H14" s="84"/>
      <c r="I14" s="84"/>
    </row>
    <row r="15" spans="2:9" x14ac:dyDescent="0.25">
      <c r="B15" s="84" t="s">
        <v>719</v>
      </c>
      <c r="C15" s="84"/>
      <c r="D15" s="84"/>
      <c r="E15" s="84"/>
      <c r="F15" s="84"/>
      <c r="G15" s="84"/>
      <c r="H15" s="84"/>
      <c r="I15" s="84"/>
    </row>
    <row r="16" spans="2:9" x14ac:dyDescent="0.25">
      <c r="B16" s="84" t="s">
        <v>720</v>
      </c>
      <c r="C16" s="84"/>
      <c r="D16" s="84"/>
      <c r="E16" s="84"/>
      <c r="F16" s="84"/>
      <c r="G16" s="84"/>
      <c r="H16" s="84"/>
      <c r="I16" s="84"/>
    </row>
    <row r="17" spans="2:9" x14ac:dyDescent="0.25">
      <c r="B17" s="84" t="s">
        <v>721</v>
      </c>
      <c r="C17" s="84"/>
      <c r="D17" s="84"/>
      <c r="E17" s="84"/>
      <c r="F17" s="84"/>
      <c r="G17" s="84"/>
      <c r="H17" s="84"/>
      <c r="I17" s="84"/>
    </row>
    <row r="18" spans="2:9" x14ac:dyDescent="0.25">
      <c r="B18" s="84" t="s">
        <v>722</v>
      </c>
      <c r="C18" s="84"/>
      <c r="D18" s="84"/>
      <c r="E18" s="84"/>
      <c r="F18" s="84"/>
      <c r="G18" s="84"/>
      <c r="H18" s="84"/>
      <c r="I18" s="84"/>
    </row>
    <row r="19" spans="2:9" x14ac:dyDescent="0.25">
      <c r="B19" s="84" t="s">
        <v>723</v>
      </c>
      <c r="C19" s="84"/>
      <c r="D19" s="84"/>
      <c r="E19" s="84"/>
      <c r="F19" s="84"/>
      <c r="G19" s="84"/>
      <c r="H19" s="84"/>
      <c r="I19" s="84"/>
    </row>
    <row r="20" spans="2:9" x14ac:dyDescent="0.25">
      <c r="B20" s="84" t="s">
        <v>724</v>
      </c>
      <c r="C20" s="84"/>
      <c r="D20" s="84"/>
      <c r="E20" s="84"/>
      <c r="F20" s="84"/>
      <c r="G20" s="84"/>
      <c r="H20" s="84"/>
      <c r="I20" s="84"/>
    </row>
  </sheetData>
  <mergeCells count="18">
    <mergeCell ref="B2:H2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Client Roster</vt:lpstr>
      <vt:lpstr>Top 20 Accounts</vt:lpstr>
      <vt:lpstr>Rep - Karin</vt:lpstr>
      <vt:lpstr>Rep - Megan</vt:lpstr>
      <vt:lpstr>Top Accounts</vt:lpstr>
      <vt:lpstr>New Clients</vt:lpstr>
      <vt:lpstr>MoM Trend</vt:lpstr>
      <vt:lpstr>Free Vial Watch</vt:lpstr>
      <vt:lpstr>Outstanding AR</vt:lpstr>
      <vt:lpstr>At-Risk</vt:lpstr>
      <vt:lpstr>All Data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2026-10-02T19:24:47Z</dcterms:created>
  <dcterms:modified xsi:type="dcterms:W3CDTF">2026-10-02T19:24:47Z</dcterms:modified>
</cp:coreProperties>
</file>